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bookViews>
    <workbookView xWindow="-108" yWindow="-108" windowWidth="30936" windowHeight="16776" activeTab="1" xr2:uid="{81EE57C0-E269-4838-AD7B-A47714A8373C}"/>
  </bookViews>
  <sheets>
    <sheet name="0" sheetId="1" r:id="rId1"/>
    <sheet name="0.0" sheetId="4" r:id="rId2"/>
  </sheets>
  <definedNames>
    <definedName name="_xlpm.v" hidden="1" xlm="1">#NAME?</definedName>
    <definedName name="_xlnm.Print_Area" localSheetId="0">'0'!$A$1:$N$37</definedName>
    <definedName name="_xlnm.Print_Area" localSheetId="1">'0.0'!$A$1:$D$8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<sst xmlns="http://schemas.openxmlformats.org/spreadsheetml/2006/main" count="110" uniqueCount="47">
  <si>
    <t>(압축강도시험)</t>
    <phoneticPr fontId="6" type="noConversion"/>
  </si>
  <si>
    <t>현   장   명</t>
    <phoneticPr fontId="6" type="noConversion"/>
  </si>
  <si>
    <t>반포주공1단지(1,2,4주구) 주택재건축 정비사업</t>
    <phoneticPr fontId="6" type="noConversion"/>
  </si>
  <si>
    <t>시료 제작 일자</t>
    <phoneticPr fontId="6" type="noConversion"/>
  </si>
  <si>
    <t>시 험 번 호</t>
    <phoneticPr fontId="6" type="noConversion"/>
  </si>
  <si>
    <t>타   설   량</t>
    <phoneticPr fontId="6" type="noConversion"/>
  </si>
  <si>
    <t>타 설 부 위</t>
    <phoneticPr fontId="6" type="noConversion"/>
  </si>
  <si>
    <t>규         격</t>
    <phoneticPr fontId="6" type="noConversion"/>
  </si>
  <si>
    <t>보 양 방 법</t>
    <phoneticPr fontId="6" type="noConversion"/>
  </si>
  <si>
    <t>-</t>
    <phoneticPr fontId="6" type="noConversion"/>
  </si>
  <si>
    <t>납 품 업 체</t>
    <phoneticPr fontId="6" type="noConversion"/>
  </si>
  <si>
    <t>탈형부위</t>
    <phoneticPr fontId="6" type="noConversion"/>
  </si>
  <si>
    <t>시험일자</t>
    <phoneticPr fontId="6" type="noConversion"/>
  </si>
  <si>
    <t>단면적</t>
    <phoneticPr fontId="6" type="noConversion"/>
  </si>
  <si>
    <t>판정</t>
    <phoneticPr fontId="6" type="noConversion"/>
  </si>
  <si>
    <t>확인자</t>
    <phoneticPr fontId="6" type="noConversion"/>
  </si>
  <si>
    <t>납품업체</t>
    <phoneticPr fontId="6" type="noConversion"/>
  </si>
  <si>
    <t>규격</t>
    <phoneticPr fontId="6" type="noConversion"/>
  </si>
  <si>
    <t>(㎟)</t>
    <phoneticPr fontId="6" type="noConversion"/>
  </si>
  <si>
    <t>(MPa)</t>
    <phoneticPr fontId="6" type="noConversion"/>
  </si>
  <si>
    <t>시공사</t>
    <phoneticPr fontId="6" type="noConversion"/>
  </si>
  <si>
    <t>감리원</t>
    <phoneticPr fontId="6" type="noConversion"/>
  </si>
  <si>
    <t>검토 및 의견</t>
    <phoneticPr fontId="6" type="noConversion"/>
  </si>
  <si>
    <t>관련근거</t>
    <phoneticPr fontId="6" type="noConversion"/>
  </si>
  <si>
    <t>-건축공사 표준시방서
-콘크리트 시방서</t>
    <phoneticPr fontId="6" type="noConversion"/>
  </si>
  <si>
    <t>- 수직부재 : 확대기초,기둥,보옆,벽체(5 MPa 이상)
- 수평부재 : SLAB,보(설계기준압축강도 14MPa, 설계강도2/3 이상)</t>
    <phoneticPr fontId="6" type="noConversion"/>
  </si>
  <si>
    <t>측정치</t>
    <phoneticPr fontId="6" type="noConversion"/>
  </si>
  <si>
    <t>파괴하중
(KN)</t>
    <phoneticPr fontId="6" type="noConversion"/>
  </si>
  <si>
    <t>※ 본 시험은 KS F 2405에 의함.</t>
    <phoneticPr fontId="6" type="noConversion"/>
  </si>
  <si>
    <t>평균 (*0.97)</t>
    <phoneticPr fontId="6" type="noConversion"/>
  </si>
  <si>
    <t>공급업체</t>
    <phoneticPr fontId="5" type="noConversion"/>
  </si>
  <si>
    <t>배합명</t>
    <phoneticPr fontId="5" type="noConversion"/>
  </si>
  <si>
    <t>타설물량</t>
    <phoneticPr fontId="5" type="noConversion"/>
  </si>
  <si>
    <t>타설일</t>
    <phoneticPr fontId="5" type="noConversion"/>
  </si>
  <si>
    <t>구조물</t>
    <phoneticPr fontId="5" type="noConversion"/>
  </si>
  <si>
    <t>타설위치</t>
    <phoneticPr fontId="5" type="noConversion"/>
  </si>
  <si>
    <t>타설종료일</t>
    <phoneticPr fontId="5" type="noConversion"/>
  </si>
  <si>
    <t>콘크리트 거푸집 탈형시험 기록서</t>
    <phoneticPr fontId="6" type="noConversion"/>
  </si>
  <si>
    <t>강도값</t>
    <phoneticPr fontId="5" type="noConversion"/>
  </si>
  <si>
    <t>사     진     대     지</t>
    <phoneticPr fontId="5" type="noConversion"/>
  </si>
  <si>
    <t>현 장 명</t>
    <phoneticPr fontId="5" type="noConversion"/>
  </si>
  <si>
    <t>반포 주공1단지(1,2,4주구) 주택 재건축 정비사업</t>
    <phoneticPr fontId="5" type="noConversion"/>
  </si>
  <si>
    <t>일   자</t>
    <phoneticPr fontId="5" type="noConversion"/>
  </si>
  <si>
    <t>내  용</t>
    <phoneticPr fontId="5" type="noConversion"/>
  </si>
  <si>
    <t>.</t>
    <phoneticPr fontId="5" type="noConversion"/>
  </si>
  <si>
    <t>2025.10.27</t>
    <phoneticPr fontId="5" type="noConversion"/>
  </si>
  <si>
    <t>312동 4F 바닥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</si>
</sst>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&quot;년&quot;\ m&quot;월&quot;\ d&quot;일&quot;;@"/>
    <numFmt numFmtId="177" formatCode="0&quot;㎥&quot;"/>
    <numFmt numFmtId="178" formatCode="##&quot;레미콘&quot;"/>
    <numFmt numFmtId="179" formatCode="#,##0_ "/>
    <numFmt numFmtId="180" formatCode="&quot;25-&quot;00&quot;-150&quot;&quot;(표준)&quot;"/>
    <numFmt numFmtId="181" formatCode="0.0_);[Red]\(0.0\)"/>
    <numFmt numFmtId="182" formatCode="#,##0.000_ "/>
    <numFmt numFmtId="183" formatCode="&quot;GF09-콘시-A-탈형-&quot;00&quot;동&quot;\-;&quot;GF09-콘시-A-탈형-&quot;@"/>
  </numFmts>
  <fonts count="25" x14ac:knownFonts="1">
    <font>
      <sz val="11"/>
      <color indexed="8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b/>
      <sz val="24"/>
      <color indexed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4"/>
      <color indexed="8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0"/>
      <name val="굴림체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7"/>
      <color indexed="8"/>
      <name val="맑은 고딕"/>
      <family val="3"/>
      <charset val="129"/>
      <scheme val="minor"/>
    </font>
    <font>
      <sz val="24"/>
      <color rgb="FF000000"/>
      <name val="맑은 고딕"/>
      <family val="3"/>
      <charset val="129"/>
    </font>
    <font>
      <sz val="24"/>
      <color rgb="FF000000"/>
      <name val="현대하모니 L"/>
      <family val="1"/>
      <charset val="129"/>
    </font>
    <font>
      <sz val="22"/>
      <color rgb="FF000000"/>
      <name val="맑은 고딕"/>
      <family val="3"/>
      <charset val="129"/>
    </font>
    <font>
      <sz val="22"/>
      <color rgb="FF000000"/>
      <name val="현대하모니 L"/>
      <family val="1"/>
      <charset val="129"/>
    </font>
    <font>
      <b/>
      <sz val="20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0" fontId="14" fillId="0" borderId="0"/>
    <xf numFmtId="0" fontId="2" fillId="0" borderId="0">
      <alignment vertical="center"/>
    </xf>
    <xf numFmtId="0" fontId="1" fillId="0" borderId="0">
      <alignment vertical="center"/>
    </xf>
  </cellStyleXfs>
  <cellXfs count="168">
    <xf numFmtId="0" fontId="0" fillId="0" borderId="0" xfId="0">
      <alignment vertical="center"/>
    </xf>
    <xf numFmtId="0" fontId="7" fillId="0" borderId="0" xfId="1" applyFont="1">
      <alignment vertical="center"/>
    </xf>
    <xf numFmtId="0" fontId="9" fillId="0" borderId="35" xfId="1" applyFont="1" applyBorder="1" applyAlignment="1">
      <alignment horizontal="center" vertical="center"/>
    </xf>
    <xf numFmtId="0" fontId="9" fillId="0" borderId="41" xfId="1" applyFont="1" applyBorder="1" applyAlignment="1">
      <alignment horizontal="center" vertical="center"/>
    </xf>
    <xf numFmtId="0" fontId="9" fillId="0" borderId="42" xfId="1" applyFont="1" applyBorder="1" applyAlignment="1">
      <alignment horizontal="center" vertical="center"/>
    </xf>
    <xf numFmtId="0" fontId="9" fillId="0" borderId="46" xfId="1" applyFont="1" applyBorder="1" applyAlignment="1">
      <alignment horizontal="center" vertical="center"/>
    </xf>
    <xf numFmtId="0" fontId="12" fillId="0" borderId="50" xfId="1" applyFont="1" applyBorder="1" applyAlignment="1">
      <alignment horizontal="center" vertical="center"/>
    </xf>
    <xf numFmtId="179" fontId="10" fillId="0" borderId="51" xfId="1" applyNumberFormat="1" applyFont="1" applyBorder="1" applyAlignment="1">
      <alignment horizontal="center" vertical="center"/>
    </xf>
    <xf numFmtId="179" fontId="10" fillId="0" borderId="57" xfId="1" applyNumberFormat="1" applyFont="1" applyBorder="1" applyAlignment="1">
      <alignment horizontal="center" vertical="center"/>
    </xf>
    <xf numFmtId="179" fontId="10" fillId="0" borderId="46" xfId="1" applyNumberFormat="1" applyFont="1" applyBorder="1" applyAlignment="1">
      <alignment horizontal="center" vertical="center"/>
    </xf>
    <xf numFmtId="180" fontId="13" fillId="0" borderId="42" xfId="1" applyNumberFormat="1" applyFont="1" applyBorder="1" applyAlignment="1">
      <alignment horizontal="center" vertical="center" shrinkToFit="1"/>
    </xf>
    <xf numFmtId="2" fontId="7" fillId="0" borderId="0" xfId="1" applyNumberFormat="1" applyFont="1">
      <alignment vertical="center"/>
    </xf>
    <xf numFmtId="182" fontId="10" fillId="0" borderId="51" xfId="1" applyNumberFormat="1" applyFont="1" applyBorder="1" applyAlignment="1">
      <alignment horizontal="center" vertical="center"/>
    </xf>
    <xf numFmtId="182" fontId="10" fillId="0" borderId="57" xfId="1" applyNumberFormat="1" applyFont="1" applyBorder="1" applyAlignment="1">
      <alignment horizontal="center" vertical="center"/>
    </xf>
    <xf numFmtId="182" fontId="10" fillId="0" borderId="46" xfId="1" applyNumberFormat="1" applyFont="1" applyBorder="1" applyAlignment="1">
      <alignment horizontal="center" vertical="center"/>
    </xf>
    <xf numFmtId="14" fontId="13" fillId="0" borderId="41" xfId="1" applyNumberFormat="1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shrinkToFit="1"/>
    </xf>
    <xf numFmtId="14" fontId="15" fillId="0" borderId="0" xfId="0" applyNumberFormat="1" applyFont="1" applyAlignment="1">
      <alignment horizontal="center" vertical="center" shrinkToFit="1"/>
    </xf>
    <xf numFmtId="0" fontId="10" fillId="0" borderId="0" xfId="1" applyFont="1" applyAlignment="1">
      <alignment horizontal="center" vertical="center" shrinkToFit="1"/>
    </xf>
    <xf numFmtId="14" fontId="10" fillId="0" borderId="0" xfId="1" applyNumberFormat="1" applyFont="1" applyAlignment="1">
      <alignment horizontal="center" vertical="center" shrinkToFit="1"/>
    </xf>
    <xf numFmtId="0" fontId="10" fillId="0" borderId="0" xfId="1" applyFont="1" applyAlignment="1">
      <alignment vertical="center" shrinkToFit="1"/>
    </xf>
    <xf numFmtId="0" fontId="16" fillId="0" borderId="0" xfId="0" applyFont="1" applyAlignment="1">
      <alignment horizontal="center" vertical="center" shrinkToFit="1"/>
    </xf>
    <xf numFmtId="14" fontId="16" fillId="0" borderId="0" xfId="0" applyNumberFormat="1" applyFont="1" applyAlignment="1">
      <alignment horizontal="center" vertical="center" shrinkToFit="1"/>
    </xf>
    <xf numFmtId="180" fontId="17" fillId="0" borderId="42" xfId="1" applyNumberFormat="1" applyFont="1" applyBorder="1" applyAlignment="1">
      <alignment horizontal="center" vertical="center" wrapText="1" shrinkToFit="1"/>
    </xf>
    <xf numFmtId="180" fontId="13" fillId="0" borderId="42" xfId="1" applyNumberFormat="1" applyFont="1" applyBorder="1" applyAlignment="1">
      <alignment horizontal="center" vertical="center" wrapText="1" shrinkToFit="1"/>
    </xf>
    <xf numFmtId="0" fontId="1" fillId="0" borderId="0" xfId="4" applyAlignment="1">
      <alignment horizontal="center" vertical="center"/>
    </xf>
    <xf numFmtId="0" fontId="24" fillId="0" borderId="62" xfId="4" applyFont="1" applyBorder="1" applyAlignment="1">
      <alignment horizontal="center" vertical="center"/>
    </xf>
    <xf numFmtId="0" fontId="23" fillId="0" borderId="54" xfId="4" applyFont="1" applyBorder="1" applyAlignment="1">
      <alignment horizontal="center" vertical="center"/>
    </xf>
    <xf numFmtId="0" fontId="24" fillId="0" borderId="54" xfId="4" applyFont="1" applyBorder="1" applyAlignment="1">
      <alignment horizontal="center" vertical="center"/>
    </xf>
    <xf numFmtId="0" fontId="23" fillId="0" borderId="63" xfId="4" applyFont="1" applyBorder="1" applyAlignment="1">
      <alignment horizontal="center" vertical="center"/>
    </xf>
    <xf numFmtId="14" fontId="23" fillId="0" borderId="63" xfId="4" applyNumberFormat="1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 shrinkToFit="1"/>
    </xf>
    <xf numFmtId="0" fontId="10" fillId="0" borderId="14" xfId="1" applyFont="1" applyBorder="1" applyAlignment="1">
      <alignment horizontal="center" vertical="center" wrapText="1"/>
    </xf>
    <xf numFmtId="0" fontId="10" fillId="0" borderId="16" xfId="1" applyFont="1" applyBorder="1" applyAlignment="1">
      <alignment horizontal="center" vertical="center" wrapText="1"/>
    </xf>
    <xf numFmtId="0" fontId="10" fillId="0" borderId="22" xfId="1" quotePrefix="1" applyFont="1" applyBorder="1" applyAlignment="1">
      <alignment horizontal="left" vertical="center" wrapText="1"/>
    </xf>
    <xf numFmtId="0" fontId="10" fillId="0" borderId="20" xfId="1" applyFont="1" applyBorder="1" applyAlignment="1">
      <alignment horizontal="left" vertical="center" wrapText="1"/>
    </xf>
    <xf numFmtId="0" fontId="10" fillId="0" borderId="23" xfId="1" applyFont="1" applyBorder="1" applyAlignment="1">
      <alignment horizontal="left" vertical="center" wrapText="1"/>
    </xf>
    <xf numFmtId="0" fontId="10" fillId="0" borderId="19" xfId="1" applyFont="1" applyBorder="1" applyAlignment="1">
      <alignment horizontal="center" vertical="center" wrapText="1"/>
    </xf>
    <xf numFmtId="0" fontId="10" fillId="0" borderId="21" xfId="1" applyFont="1" applyBorder="1" applyAlignment="1">
      <alignment horizontal="center" vertical="center" wrapText="1"/>
    </xf>
    <xf numFmtId="0" fontId="10" fillId="0" borderId="6" xfId="1" applyFont="1" applyBorder="1" applyAlignment="1">
      <alignment horizontal="center" vertical="center" wrapText="1"/>
    </xf>
    <xf numFmtId="0" fontId="10" fillId="0" borderId="60" xfId="1" applyFont="1" applyBorder="1" applyAlignment="1">
      <alignment horizontal="center" vertical="center" wrapText="1"/>
    </xf>
    <xf numFmtId="0" fontId="7" fillId="0" borderId="20" xfId="0" applyFont="1" applyBorder="1" applyAlignment="1">
      <alignment vertical="center"/>
    </xf>
    <xf numFmtId="0" fontId="7" fillId="0" borderId="21" xfId="0" applyFont="1" applyBorder="1" applyAlignment="1">
      <alignment vertical="center"/>
    </xf>
    <xf numFmtId="0" fontId="7" fillId="0" borderId="61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60" xfId="0" applyFont="1" applyBorder="1" applyAlignment="1">
      <alignment vertical="center"/>
    </xf>
    <xf numFmtId="0" fontId="10" fillId="0" borderId="20" xfId="1" quotePrefix="1" applyFont="1" applyBorder="1" applyAlignment="1">
      <alignment horizontal="left" vertical="center" wrapText="1"/>
    </xf>
    <xf numFmtId="0" fontId="7" fillId="0" borderId="23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53" xfId="1" applyFont="1" applyBorder="1" applyAlignment="1">
      <alignment horizontal="center" vertical="center"/>
    </xf>
    <xf numFmtId="0" fontId="11" fillId="0" borderId="59" xfId="1" applyFont="1" applyBorder="1" applyAlignment="1">
      <alignment horizontal="center" vertical="center"/>
    </xf>
    <xf numFmtId="0" fontId="11" fillId="0" borderId="49" xfId="1" applyFont="1" applyBorder="1" applyAlignment="1">
      <alignment horizontal="center" vertical="center"/>
    </xf>
    <xf numFmtId="0" fontId="11" fillId="0" borderId="66" xfId="1" applyFont="1" applyBorder="1" applyAlignment="1">
      <alignment horizontal="center" vertical="center"/>
    </xf>
    <xf numFmtId="0" fontId="11" fillId="0" borderId="67" xfId="1" applyFont="1" applyBorder="1" applyAlignment="1">
      <alignment horizontal="center" vertical="center"/>
    </xf>
    <xf numFmtId="0" fontId="11" fillId="0" borderId="68" xfId="1" applyFont="1" applyBorder="1" applyAlignment="1">
      <alignment horizontal="center" vertical="center"/>
    </xf>
    <xf numFmtId="181" fontId="11" fillId="0" borderId="56" xfId="0" applyNumberFormat="1" applyFont="1" applyBorder="1" applyAlignment="1">
      <alignment horizontal="center" vertical="center" shrinkToFit="1"/>
    </xf>
    <xf numFmtId="181" fontId="11" fillId="0" borderId="58" xfId="0" applyNumberFormat="1" applyFont="1" applyBorder="1" applyAlignment="1">
      <alignment horizontal="center" vertical="center" shrinkToFit="1"/>
    </xf>
    <xf numFmtId="181" fontId="11" fillId="0" borderId="59" xfId="0" applyNumberFormat="1" applyFont="1" applyBorder="1" applyAlignment="1">
      <alignment horizontal="center" vertical="center" shrinkToFit="1"/>
    </xf>
    <xf numFmtId="181" fontId="11" fillId="0" borderId="47" xfId="0" applyNumberFormat="1" applyFont="1" applyBorder="1" applyAlignment="1">
      <alignment horizontal="center" vertical="center" shrinkToFit="1"/>
    </xf>
    <xf numFmtId="181" fontId="11" fillId="0" borderId="48" xfId="0" applyNumberFormat="1" applyFont="1" applyBorder="1" applyAlignment="1">
      <alignment horizontal="center" vertical="center" shrinkToFit="1"/>
    </xf>
    <xf numFmtId="181" fontId="11" fillId="0" borderId="49" xfId="0" applyNumberFormat="1" applyFont="1" applyBorder="1" applyAlignment="1">
      <alignment horizontal="center" vertical="center" shrinkToFit="1"/>
    </xf>
    <xf numFmtId="0" fontId="10" fillId="0" borderId="19" xfId="1" applyNumberFormat="1" applyFont="1" applyBorder="1" applyAlignment="1">
      <alignment horizontal="center" vertical="center" wrapText="1"/>
    </xf>
    <xf numFmtId="0" fontId="10" fillId="0" borderId="21" xfId="1" applyNumberFormat="1" applyFont="1" applyBorder="1" applyAlignment="1">
      <alignment horizontal="center" vertical="center" wrapText="1"/>
    </xf>
    <xf numFmtId="0" fontId="10" fillId="0" borderId="64" xfId="1" applyNumberFormat="1" applyFont="1" applyBorder="1" applyAlignment="1">
      <alignment horizontal="center" vertical="center" wrapText="1"/>
    </xf>
    <xf numFmtId="0" fontId="10" fillId="0" borderId="65" xfId="1" applyNumberFormat="1" applyFont="1" applyBorder="1" applyAlignment="1">
      <alignment horizontal="center" vertical="center" wrapText="1"/>
    </xf>
    <xf numFmtId="14" fontId="10" fillId="0" borderId="22" xfId="1" applyNumberFormat="1" applyFont="1" applyBorder="1" applyAlignment="1">
      <alignment horizontal="center" vertical="center"/>
    </xf>
    <xf numFmtId="14" fontId="10" fillId="0" borderId="21" xfId="1" applyNumberFormat="1" applyFont="1" applyBorder="1" applyAlignment="1">
      <alignment horizontal="center" vertical="center"/>
    </xf>
    <xf numFmtId="14" fontId="10" fillId="0" borderId="69" xfId="1" applyNumberFormat="1" applyFont="1" applyBorder="1" applyAlignment="1">
      <alignment horizontal="center" vertical="center"/>
    </xf>
    <xf numFmtId="14" fontId="10" fillId="0" borderId="55" xfId="1" applyNumberFormat="1" applyFont="1" applyBorder="1" applyAlignment="1">
      <alignment horizontal="center" vertical="center"/>
    </xf>
    <xf numFmtId="14" fontId="10" fillId="0" borderId="43" xfId="1" applyNumberFormat="1" applyFont="1" applyBorder="1" applyAlignment="1">
      <alignment horizontal="center" vertical="center"/>
    </xf>
    <xf numFmtId="14" fontId="10" fillId="0" borderId="44" xfId="1" applyNumberFormat="1" applyFont="1" applyBorder="1" applyAlignment="1">
      <alignment horizontal="center" vertical="center"/>
    </xf>
    <xf numFmtId="181" fontId="11" fillId="0" borderId="39" xfId="0" applyNumberFormat="1" applyFont="1" applyBorder="1" applyAlignment="1">
      <alignment horizontal="center" vertical="center" shrinkToFit="1"/>
    </xf>
    <xf numFmtId="181" fontId="11" fillId="0" borderId="52" xfId="0" applyNumberFormat="1" applyFont="1" applyBorder="1" applyAlignment="1">
      <alignment horizontal="center" vertical="center" shrinkToFit="1"/>
    </xf>
    <xf numFmtId="181" fontId="11" fillId="0" borderId="53" xfId="0" applyNumberFormat="1" applyFont="1" applyBorder="1" applyAlignment="1">
      <alignment horizontal="center" vertical="center" shrinkToFit="1"/>
    </xf>
    <xf numFmtId="181" fontId="10" fillId="0" borderId="39" xfId="1" applyNumberFormat="1" applyFont="1" applyBorder="1" applyAlignment="1">
      <alignment horizontal="center" vertical="center"/>
    </xf>
    <xf numFmtId="181" fontId="10" fillId="0" borderId="53" xfId="1" applyNumberFormat="1" applyFont="1" applyBorder="1" applyAlignment="1">
      <alignment horizontal="center" vertical="center"/>
    </xf>
    <xf numFmtId="181" fontId="10" fillId="0" borderId="56" xfId="1" applyNumberFormat="1" applyFont="1" applyBorder="1" applyAlignment="1">
      <alignment horizontal="center" vertical="center"/>
    </xf>
    <xf numFmtId="181" fontId="10" fillId="0" borderId="59" xfId="1" applyNumberFormat="1" applyFont="1" applyBorder="1" applyAlignment="1">
      <alignment horizontal="center" vertical="center"/>
    </xf>
    <xf numFmtId="181" fontId="10" fillId="0" borderId="47" xfId="1" applyNumberFormat="1" applyFont="1" applyBorder="1" applyAlignment="1">
      <alignment horizontal="center" vertical="center"/>
    </xf>
    <xf numFmtId="181" fontId="10" fillId="0" borderId="49" xfId="1" applyNumberFormat="1" applyFont="1" applyBorder="1" applyAlignment="1">
      <alignment horizontal="center" vertical="center"/>
    </xf>
    <xf numFmtId="0" fontId="11" fillId="0" borderId="51" xfId="1" applyFont="1" applyBorder="1" applyAlignment="1">
      <alignment horizontal="center" vertical="center"/>
    </xf>
    <xf numFmtId="0" fontId="11" fillId="0" borderId="57" xfId="1" applyFont="1" applyBorder="1" applyAlignment="1">
      <alignment horizontal="center" vertical="center"/>
    </xf>
    <xf numFmtId="0" fontId="11" fillId="0" borderId="4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9" fillId="0" borderId="40" xfId="1" applyFont="1" applyBorder="1" applyAlignment="1">
      <alignment horizontal="center" vertical="center"/>
    </xf>
    <xf numFmtId="0" fontId="9" fillId="0" borderId="47" xfId="1" applyFont="1" applyBorder="1" applyAlignment="1">
      <alignment horizontal="center" vertical="center"/>
    </xf>
    <xf numFmtId="0" fontId="9" fillId="0" borderId="48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14" fontId="10" fillId="0" borderId="39" xfId="1" applyNumberFormat="1" applyFont="1" applyBorder="1" applyAlignment="1">
      <alignment horizontal="center" vertical="center"/>
    </xf>
    <xf numFmtId="14" fontId="10" fillId="0" borderId="53" xfId="1" applyNumberFormat="1" applyFont="1" applyBorder="1" applyAlignment="1">
      <alignment horizontal="center" vertical="center"/>
    </xf>
    <xf numFmtId="14" fontId="10" fillId="0" borderId="56" xfId="1" applyNumberFormat="1" applyFont="1" applyBorder="1" applyAlignment="1">
      <alignment horizontal="center" vertical="center"/>
    </xf>
    <xf numFmtId="14" fontId="10" fillId="0" borderId="59" xfId="1" applyNumberFormat="1" applyFont="1" applyBorder="1" applyAlignment="1">
      <alignment horizontal="center" vertical="center"/>
    </xf>
    <xf numFmtId="14" fontId="10" fillId="0" borderId="47" xfId="1" applyNumberFormat="1" applyFont="1" applyBorder="1" applyAlignment="1">
      <alignment horizontal="center" vertical="center"/>
    </xf>
    <xf numFmtId="14" fontId="10" fillId="0" borderId="49" xfId="1" applyNumberFormat="1" applyFont="1" applyBorder="1" applyAlignment="1">
      <alignment horizontal="center" vertical="center"/>
    </xf>
    <xf numFmtId="0" fontId="9" fillId="0" borderId="30" xfId="1" applyFont="1" applyBorder="1" applyAlignment="1">
      <alignment horizontal="center" vertical="center"/>
    </xf>
    <xf numFmtId="0" fontId="9" fillId="0" borderId="31" xfId="1" applyFont="1" applyBorder="1" applyAlignment="1">
      <alignment horizontal="center" vertical="center"/>
    </xf>
    <xf numFmtId="0" fontId="9" fillId="0" borderId="32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43" xfId="1" applyFont="1" applyBorder="1" applyAlignment="1">
      <alignment horizontal="center" vertical="center"/>
    </xf>
    <xf numFmtId="0" fontId="9" fillId="0" borderId="44" xfId="1" applyFont="1" applyBorder="1" applyAlignment="1">
      <alignment horizontal="center" vertical="center"/>
    </xf>
    <xf numFmtId="0" fontId="9" fillId="0" borderId="34" xfId="1" applyFont="1" applyBorder="1" applyAlignment="1">
      <alignment horizontal="center" vertical="center" wrapText="1"/>
    </xf>
    <xf numFmtId="0" fontId="9" fillId="0" borderId="45" xfId="1" applyFont="1" applyBorder="1" applyAlignment="1">
      <alignment horizontal="center" vertical="center" wrapText="1"/>
    </xf>
    <xf numFmtId="0" fontId="9" fillId="0" borderId="36" xfId="1" applyFont="1" applyBorder="1" applyAlignment="1">
      <alignment horizontal="center" vertical="center"/>
    </xf>
    <xf numFmtId="0" fontId="9" fillId="0" borderId="37" xfId="1" applyFont="1" applyBorder="1" applyAlignment="1">
      <alignment horizontal="center" vertical="center"/>
    </xf>
    <xf numFmtId="0" fontId="9" fillId="0" borderId="38" xfId="1" applyFont="1" applyBorder="1" applyAlignment="1">
      <alignment horizontal="center" vertical="center"/>
    </xf>
    <xf numFmtId="0" fontId="9" fillId="0" borderId="36" xfId="1" applyFont="1" applyBorder="1" applyAlignment="1">
      <alignment horizontal="center" vertical="center" wrapText="1"/>
    </xf>
    <xf numFmtId="0" fontId="9" fillId="0" borderId="21" xfId="1" applyFont="1" applyBorder="1" applyAlignment="1">
      <alignment horizontal="center" vertical="center"/>
    </xf>
    <xf numFmtId="0" fontId="10" fillId="0" borderId="29" xfId="1" applyFont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183" fontId="10" fillId="0" borderId="17" xfId="1" applyNumberFormat="1" applyFont="1" applyBorder="1" applyAlignment="1">
      <alignment horizontal="center" vertical="center" shrinkToFit="1"/>
    </xf>
    <xf numFmtId="183" fontId="10" fillId="0" borderId="15" xfId="1" applyNumberFormat="1" applyFont="1" applyBorder="1" applyAlignment="1">
      <alignment horizontal="center" vertical="center" shrinkToFit="1"/>
    </xf>
    <xf numFmtId="183" fontId="10" fillId="0" borderId="16" xfId="1" applyNumberFormat="1" applyFont="1" applyBorder="1" applyAlignment="1">
      <alignment horizontal="center" vertical="center" shrinkToFit="1"/>
    </xf>
    <xf numFmtId="0" fontId="9" fillId="0" borderId="17" xfId="1" applyFont="1" applyBorder="1" applyAlignment="1">
      <alignment horizontal="center" vertical="center"/>
    </xf>
    <xf numFmtId="177" fontId="10" fillId="0" borderId="17" xfId="1" applyNumberFormat="1" applyFont="1" applyBorder="1" applyAlignment="1">
      <alignment horizontal="center" vertical="center"/>
    </xf>
    <xf numFmtId="177" fontId="10" fillId="0" borderId="15" xfId="1" applyNumberFormat="1" applyFont="1" applyBorder="1" applyAlignment="1">
      <alignment horizontal="center" vertical="center"/>
    </xf>
    <xf numFmtId="177" fontId="10" fillId="0" borderId="18" xfId="1" applyNumberFormat="1" applyFont="1" applyBorder="1" applyAlignment="1">
      <alignment horizontal="center" vertical="center"/>
    </xf>
    <xf numFmtId="0" fontId="9" fillId="0" borderId="19" xfId="1" applyFont="1" applyBorder="1" applyAlignment="1">
      <alignment horizontal="center" vertical="center"/>
    </xf>
    <xf numFmtId="0" fontId="9" fillId="0" borderId="20" xfId="1" applyFont="1" applyBorder="1" applyAlignment="1">
      <alignment horizontal="center" vertical="center"/>
    </xf>
    <xf numFmtId="0" fontId="10" fillId="0" borderId="22" xfId="1" applyNumberFormat="1" applyFont="1" applyBorder="1" applyAlignment="1">
      <alignment horizontal="center" vertical="center" shrinkToFit="1"/>
    </xf>
    <xf numFmtId="0" fontId="10" fillId="0" borderId="20" xfId="1" applyNumberFormat="1" applyFont="1" applyBorder="1" applyAlignment="1">
      <alignment horizontal="center" vertical="center" shrinkToFit="1"/>
    </xf>
    <xf numFmtId="0" fontId="10" fillId="0" borderId="21" xfId="1" applyNumberFormat="1" applyFont="1" applyBorder="1" applyAlignment="1">
      <alignment horizontal="center" vertical="center" shrinkToFit="1"/>
    </xf>
    <xf numFmtId="0" fontId="10" fillId="0" borderId="20" xfId="1" applyFont="1" applyBorder="1" applyAlignment="1">
      <alignment horizontal="center" vertical="center" shrinkToFit="1"/>
    </xf>
    <xf numFmtId="0" fontId="10" fillId="0" borderId="23" xfId="1" applyFont="1" applyBorder="1" applyAlignment="1">
      <alignment horizontal="center" vertical="center" shrinkToFit="1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8" fillId="0" borderId="6" xfId="1" applyFont="1" applyBorder="1" applyAlignment="1">
      <alignment horizontal="center" vertical="center" wrapText="1"/>
    </xf>
    <xf numFmtId="0" fontId="8" fillId="0" borderId="7" xfId="1" applyFont="1" applyBorder="1" applyAlignment="1">
      <alignment horizontal="center" vertical="center" wrapText="1"/>
    </xf>
    <xf numFmtId="0" fontId="8" fillId="0" borderId="8" xfId="1" applyFont="1" applyBorder="1" applyAlignment="1">
      <alignment horizontal="center" vertical="center" wrapText="1"/>
    </xf>
    <xf numFmtId="0" fontId="9" fillId="0" borderId="9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 shrinkToFit="1"/>
    </xf>
    <xf numFmtId="0" fontId="10" fillId="0" borderId="10" xfId="1" applyFont="1" applyBorder="1" applyAlignment="1">
      <alignment horizontal="center" vertical="center" shrinkToFit="1"/>
    </xf>
    <xf numFmtId="0" fontId="10" fillId="0" borderId="11" xfId="1" applyFont="1" applyBorder="1" applyAlignment="1">
      <alignment horizontal="center" vertical="center" shrinkToFit="1"/>
    </xf>
    <xf numFmtId="0" fontId="9" fillId="0" borderId="12" xfId="1" applyFont="1" applyBorder="1" applyAlignment="1">
      <alignment horizontal="center" vertical="center"/>
    </xf>
    <xf numFmtId="176" fontId="11" fillId="2" borderId="12" xfId="1" applyNumberFormat="1" applyFont="1" applyFill="1" applyBorder="1" applyAlignment="1">
      <alignment horizontal="center" vertical="center" shrinkToFit="1"/>
    </xf>
    <xf numFmtId="176" fontId="11" fillId="2" borderId="10" xfId="1" applyNumberFormat="1" applyFont="1" applyFill="1" applyBorder="1" applyAlignment="1">
      <alignment horizontal="center" vertical="center" shrinkToFit="1"/>
    </xf>
    <xf numFmtId="176" fontId="11" fillId="2" borderId="13" xfId="1" applyNumberFormat="1" applyFont="1" applyFill="1" applyBorder="1" applyAlignment="1">
      <alignment horizontal="center" vertical="center" shrinkToFit="1"/>
    </xf>
    <xf numFmtId="0" fontId="9" fillId="0" borderId="24" xfId="1" applyFont="1" applyBorder="1" applyAlignment="1">
      <alignment horizontal="center" vertical="center"/>
    </xf>
    <xf numFmtId="0" fontId="9" fillId="0" borderId="25" xfId="1" applyFont="1" applyBorder="1" applyAlignment="1">
      <alignment horizontal="center" vertical="center"/>
    </xf>
    <xf numFmtId="0" fontId="9" fillId="0" borderId="26" xfId="1" applyFont="1" applyBorder="1" applyAlignment="1">
      <alignment horizontal="center" vertical="center"/>
    </xf>
    <xf numFmtId="0" fontId="10" fillId="0" borderId="27" xfId="1" quotePrefix="1" applyFont="1" applyBorder="1" applyAlignment="1">
      <alignment horizontal="center" vertical="center"/>
    </xf>
    <xf numFmtId="0" fontId="10" fillId="0" borderId="25" xfId="1" quotePrefix="1" applyFont="1" applyBorder="1" applyAlignment="1">
      <alignment horizontal="center" vertical="center"/>
    </xf>
    <xf numFmtId="0" fontId="10" fillId="0" borderId="25" xfId="1" applyFont="1" applyBorder="1" applyAlignment="1">
      <alignment horizontal="center" vertical="center"/>
    </xf>
    <xf numFmtId="0" fontId="10" fillId="0" borderId="26" xfId="1" applyFont="1" applyBorder="1" applyAlignment="1">
      <alignment horizontal="center" vertical="center"/>
    </xf>
    <xf numFmtId="0" fontId="9" fillId="0" borderId="27" xfId="1" applyFont="1" applyBorder="1" applyAlignment="1">
      <alignment horizontal="center" vertical="center"/>
    </xf>
    <xf numFmtId="178" fontId="10" fillId="0" borderId="27" xfId="1" applyNumberFormat="1" applyFont="1" applyBorder="1" applyAlignment="1">
      <alignment horizontal="center" vertical="center" shrinkToFit="1"/>
    </xf>
    <xf numFmtId="178" fontId="10" fillId="0" borderId="25" xfId="1" applyNumberFormat="1" applyFont="1" applyBorder="1" applyAlignment="1">
      <alignment horizontal="center" vertical="center" shrinkToFit="1"/>
    </xf>
    <xf numFmtId="178" fontId="10" fillId="0" borderId="28" xfId="1" applyNumberFormat="1" applyFont="1" applyBorder="1" applyAlignment="1">
      <alignment horizontal="center" vertical="center" shrinkToFit="1"/>
    </xf>
    <xf numFmtId="0" fontId="23" fillId="0" borderId="62" xfId="4" applyFont="1" applyBorder="1" applyAlignment="1">
      <alignment horizontal="center" vertical="center"/>
    </xf>
    <xf numFmtId="0" fontId="23" fillId="0" borderId="54" xfId="4" applyFont="1" applyBorder="1" applyAlignment="1">
      <alignment horizontal="center" vertical="center"/>
    </xf>
    <xf numFmtId="0" fontId="23" fillId="0" borderId="63" xfId="4" applyFont="1" applyBorder="1" applyAlignment="1">
      <alignment horizontal="center" vertical="center"/>
    </xf>
    <xf numFmtId="0" fontId="23" fillId="0" borderId="17" xfId="4" applyFont="1" applyBorder="1" applyAlignment="1">
      <alignment horizontal="center" vertical="center"/>
    </xf>
    <xf numFmtId="0" fontId="23" fillId="0" borderId="15" xfId="4" applyFont="1" applyBorder="1" applyAlignment="1">
      <alignment horizontal="center" vertical="center"/>
    </xf>
    <xf numFmtId="0" fontId="23" fillId="0" borderId="18" xfId="4" applyFont="1" applyBorder="1" applyAlignment="1">
      <alignment horizontal="center" vertical="center"/>
    </xf>
    <xf numFmtId="0" fontId="22" fillId="3" borderId="62" xfId="4" applyFont="1" applyFill="1" applyBorder="1" applyAlignment="1">
      <alignment horizontal="center" vertical="center"/>
    </xf>
    <xf numFmtId="0" fontId="22" fillId="3" borderId="54" xfId="4" applyFont="1" applyFill="1" applyBorder="1" applyAlignment="1">
      <alignment horizontal="center" vertical="center"/>
    </xf>
    <xf numFmtId="0" fontId="22" fillId="3" borderId="63" xfId="4" applyFont="1" applyFill="1" applyBorder="1" applyAlignment="1">
      <alignment horizontal="center" vertical="center"/>
    </xf>
    <xf numFmtId="0" fontId="22" fillId="3" borderId="70" xfId="4" applyFont="1" applyFill="1" applyBorder="1" applyAlignment="1">
      <alignment horizontal="center" vertical="center"/>
    </xf>
    <xf numFmtId="0" fontId="22" fillId="3" borderId="71" xfId="4" applyFont="1" applyFill="1" applyBorder="1" applyAlignment="1">
      <alignment horizontal="center" vertical="center"/>
    </xf>
    <xf numFmtId="0" fontId="22" fillId="3" borderId="72" xfId="4" applyFont="1" applyFill="1" applyBorder="1" applyAlignment="1">
      <alignment horizontal="center" vertical="center"/>
    </xf>
  </cellXfs>
  <cellStyles count="5">
    <cellStyle name="표준" xfId="0" builtinId="0"/>
    <cellStyle name="표준 2" xfId="2" xr:uid="{7DBCF851-FF84-48DA-ACB7-52C7E0F985F8}"/>
    <cellStyle name="표준 3" xfId="3" xr:uid="{16E217C5-31BA-4D07-A80F-BAED965981E8}"/>
    <cellStyle name="표준 4" xfId="4" xr:uid="{A46A7768-96DB-424E-873F-429D03B89F40}"/>
    <cellStyle name="표준_레미콘 시험성과표(강도시험)" xfId="1" xr:uid="{F58A2133-5831-4AEA-AE20-0D2188B3F3B7}"/>
  </cellStyles>
  <dxfs count="4">
    <dxf>
      <font>
        <color rgb="FF9C57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190500</xdr:rowOff>
        </xdr:from>
        <xdr:to>
          <xdr:col>1</xdr:col>
          <xdr:colOff>571500</xdr:colOff>
          <xdr:row>11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현대하모니 L"/>
                  <a:ea typeface="현대하모니 L"/>
                </a:rPr>
                <a:t> 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삽입</a:t>
              </a:r>
              <a:endParaRPr lang="ko-KR" altLang="en-US" sz="2400" b="0" i="0" u="none" strike="noStrike" baseline="0">
                <a:solidFill>
                  <a:srgbClr val="000000"/>
                </a:solidFill>
                <a:latin typeface="현대하모니 L"/>
                <a:ea typeface="현대하모니 L"/>
              </a:endParaRPr>
            </a:p>
            <a:p>
              <a:pPr algn="ctr" rtl="0">
                <a:defRPr sz="1000"/>
              </a:pP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현대하모니 L"/>
                  <a:ea typeface="현대하모니 L"/>
                </a:rPr>
                <a:t> 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삽입</a:t>
              </a:r>
            </a:p>
            <a:p>
              <a:pPr algn="ctr" rtl="0">
                <a:defRPr sz="1000"/>
              </a:pP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현대하모니 L"/>
                  <a:ea typeface="현대하모니 L"/>
                </a:rPr>
                <a:t> 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삽입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693420</xdr:colOff>
          <xdr:row>8</xdr:row>
          <xdr:rowOff>190500</xdr:rowOff>
        </xdr:from>
        <xdr:to>
          <xdr:col>1</xdr:col>
          <xdr:colOff>2065020</xdr:colOff>
          <xdr:row>11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2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</a:t>
              </a:r>
              <a:r>
                <a:rPr lang="ko-KR" altLang="en-US" sz="2200" b="0" i="0" u="none" strike="noStrike" baseline="0">
                  <a:solidFill>
                    <a:srgbClr val="000000"/>
                  </a:solidFill>
                  <a:latin typeface="현대하모니 L"/>
                  <a:ea typeface="현대하모니 L"/>
                </a:rPr>
                <a:t> </a:t>
              </a:r>
              <a:r>
                <a:rPr lang="ko-KR" altLang="en-US" sz="2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삭제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0F0E3-24CF-486E-B038-4D1CEE3B0FB8}">
  <sheetPr codeName="Sheet11">
    <pageSetUpPr fitToPage="1"/>
  </sheetPr>
  <dimension ref="A1:X37"/>
  <sheetViews>
    <sheetView showZeros="0" view="pageBreakPreview" zoomScale="70" zoomScaleNormal="100" zoomScaleSheetLayoutView="70" workbookViewId="0">
      <selection activeCell="C26" sqref="C26:D28"/>
    </sheetView>
  </sheetViews>
  <sheetFormatPr defaultColWidth="9" defaultRowHeight="17.399999999999999" x14ac:dyDescent="0.4"/>
  <cols>
    <col min="1" max="2" width="10.69921875" style="1" customWidth="1"/>
    <col min="3" max="4" width="5.69921875" style="1" customWidth="1"/>
    <col min="5" max="9" width="10.69921875" style="1" customWidth="1"/>
    <col min="10" max="11" width="5.69921875" style="1" customWidth="1"/>
    <col min="12" max="14" width="10.69921875" style="1" customWidth="1"/>
    <col min="15" max="15" width="9" style="1"/>
    <col min="16" max="16" width="25.09765625" style="18" bestFit="1" customWidth="1"/>
    <col min="17" max="17" width="15.69921875" style="18" bestFit="1" customWidth="1"/>
    <col min="18" max="18" width="7.59765625" style="18" bestFit="1" customWidth="1"/>
    <col min="19" max="19" width="11.59765625" style="19" bestFit="1" customWidth="1"/>
    <col min="20" max="20" width="6.59765625" style="18" bestFit="1" customWidth="1"/>
    <col min="21" max="21" width="26.09765625" style="18" bestFit="1" customWidth="1"/>
    <col min="22" max="22" width="11.59765625" style="19" bestFit="1" customWidth="1"/>
    <col min="23" max="23" width="7.59765625" style="18" bestFit="1" customWidth="1"/>
    <col min="24" max="24" width="15.69921875" style="18" bestFit="1" customWidth="1"/>
    <col min="25" max="16384" width="9" style="1"/>
  </cols>
  <sheetData>
    <row r="1" spans="1:24" ht="30" customHeight="1" x14ac:dyDescent="0.4">
      <c r="A1" s="126" t="s">
        <v>37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8"/>
      <c r="O1" s="16" t="s">
        <v>38</v>
      </c>
      <c r="P1" s="16" t="s">
        <v>30</v>
      </c>
      <c r="Q1" s="16" t="s">
        <v>31</v>
      </c>
      <c r="R1" s="16" t="s">
        <v>32</v>
      </c>
      <c r="S1" s="17" t="s">
        <v>33</v>
      </c>
      <c r="T1" s="16" t="s">
        <v>34</v>
      </c>
      <c r="U1" s="16" t="s">
        <v>35</v>
      </c>
      <c r="V1" s="17" t="s">
        <v>36</v>
      </c>
      <c r="W1" s="16"/>
      <c r="X1" s="16"/>
    </row>
    <row r="2" spans="1:24" ht="30" customHeight="1" x14ac:dyDescent="0.4">
      <c r="A2" s="129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1"/>
      <c r="O2" s="18" t="str">
        <f t="shared" ref="O2:O3" si="0">IF(Q2="","", MID(Q2, FIND("-", Q2) + 1, FIND("-", Q2, FIND("-", Q2) + 1) - FIND("-", Q2) - 1))</f>
        <v/>
      </c>
      <c r="P2" s="31"/>
      <c r="Q2" s="21"/>
      <c r="R2" s="21"/>
      <c r="S2" s="22"/>
      <c r="T2" s="21"/>
      <c r="U2" s="32"/>
      <c r="V2" s="22"/>
    </row>
    <row r="3" spans="1:24" ht="30" customHeight="1" thickBot="1" x14ac:dyDescent="0.45">
      <c r="A3" s="132" t="s">
        <v>0</v>
      </c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4"/>
      <c r="O3" s="18" t="str">
        <f t="shared" si="0"/>
        <v/>
      </c>
      <c r="P3" s="31"/>
      <c r="Q3" s="21"/>
      <c r="R3" s="21"/>
      <c r="S3" s="22"/>
      <c r="T3" s="21"/>
      <c r="U3" s="32"/>
      <c r="V3" s="22"/>
    </row>
    <row r="4" spans="1:24" ht="30" customHeight="1" x14ac:dyDescent="0.4">
      <c r="A4" s="135" t="s">
        <v>1</v>
      </c>
      <c r="B4" s="136"/>
      <c r="C4" s="137"/>
      <c r="D4" s="138" t="s">
        <v>2</v>
      </c>
      <c r="E4" s="139"/>
      <c r="F4" s="139"/>
      <c r="G4" s="140"/>
      <c r="H4" s="141" t="s">
        <v>3</v>
      </c>
      <c r="I4" s="136"/>
      <c r="J4" s="137"/>
      <c r="K4" s="142">
        <f>S2</f>
        <v>0</v>
      </c>
      <c r="L4" s="143"/>
      <c r="M4" s="143"/>
      <c r="N4" s="144"/>
      <c r="O4" s="18" t="str">
        <f>IF(Q4="","", MID(Q4, FIND("-", Q4) + 1, FIND("-", Q4, FIND("-", Q4) + 1) - FIND("-", Q4) - 1))</f>
        <v/>
      </c>
      <c r="P4" s="31"/>
      <c r="Q4" s="21"/>
      <c r="R4" s="21"/>
      <c r="S4" s="22"/>
      <c r="T4" s="21"/>
      <c r="U4" s="32"/>
      <c r="V4" s="22"/>
    </row>
    <row r="5" spans="1:24" ht="30" customHeight="1" x14ac:dyDescent="0.4">
      <c r="A5" s="109" t="s">
        <v>4</v>
      </c>
      <c r="B5" s="110"/>
      <c r="C5" s="111"/>
      <c r="D5" s="112">
        <f>T2</f>
        <v>0</v>
      </c>
      <c r="E5" s="113"/>
      <c r="F5" s="113"/>
      <c r="G5" s="114"/>
      <c r="H5" s="115" t="s">
        <v>5</v>
      </c>
      <c r="I5" s="110"/>
      <c r="J5" s="111"/>
      <c r="K5" s="116">
        <f>SUM(R2:R14)</f>
        <v>0</v>
      </c>
      <c r="L5" s="117"/>
      <c r="M5" s="117"/>
      <c r="N5" s="118"/>
      <c r="O5" s="18" t="str">
        <f t="shared" ref="O5:O7" si="1">IF(Q5="","", MID(Q5, FIND("-", Q5) + 1, FIND("-", Q5, FIND("-", Q5) + 1) - FIND("-", Q5) - 1))</f>
        <v/>
      </c>
      <c r="P5" s="31"/>
      <c r="Q5" s="21"/>
      <c r="R5" s="21"/>
      <c r="S5" s="22"/>
      <c r="T5" s="21"/>
      <c r="U5" s="32"/>
      <c r="V5" s="22"/>
    </row>
    <row r="6" spans="1:24" ht="30" customHeight="1" x14ac:dyDescent="0.4">
      <c r="A6" s="119" t="s">
        <v>6</v>
      </c>
      <c r="B6" s="120"/>
      <c r="C6" s="107"/>
      <c r="D6" s="121">
        <f>U2</f>
        <v>0</v>
      </c>
      <c r="E6" s="122"/>
      <c r="F6" s="122"/>
      <c r="G6" s="123"/>
      <c r="H6" s="115" t="s">
        <v>7</v>
      </c>
      <c r="I6" s="110"/>
      <c r="J6" s="111"/>
      <c r="K6" s="121" t="str" cm="1">
        <f t="array" ref="K6">_xlfn.TEXTJOIN(", ", TRUE, _xlfn.UNIQUE(IF((Q2:Q7&lt;&gt;"")*(LEN(Q2:Q7)&gt;0), IFERROR(LEFT(Q2:Q7, FIND("(", Q2:Q7) - 1), Q2:Q7) &amp; "(표준)", "")))</f>
        <v/>
      </c>
      <c r="L6" s="124"/>
      <c r="M6" s="124"/>
      <c r="N6" s="125"/>
      <c r="O6" s="18" t="str">
        <f t="shared" si="1"/>
        <v/>
      </c>
      <c r="P6" s="31"/>
      <c r="Q6" s="21"/>
      <c r="R6" s="21"/>
      <c r="S6" s="22"/>
      <c r="T6" s="21"/>
      <c r="U6" s="32"/>
      <c r="V6" s="22"/>
    </row>
    <row r="7" spans="1:24" ht="30" customHeight="1" thickBot="1" x14ac:dyDescent="0.45">
      <c r="A7" s="145" t="s">
        <v>8</v>
      </c>
      <c r="B7" s="146"/>
      <c r="C7" s="147"/>
      <c r="D7" s="148" t="s">
        <v>9</v>
      </c>
      <c r="E7" s="149"/>
      <c r="F7" s="150"/>
      <c r="G7" s="151"/>
      <c r="H7" s="152" t="s">
        <v>10</v>
      </c>
      <c r="I7" s="146"/>
      <c r="J7" s="147"/>
      <c r="K7" s="153" t="str">
        <f>_xlfn.TEXTJOIN(", ", TRUE, _xlfn.UNIQUE(P2:P7))</f>
        <v/>
      </c>
      <c r="L7" s="154"/>
      <c r="M7" s="154"/>
      <c r="N7" s="155"/>
      <c r="O7" s="18" t="str">
        <f t="shared" si="1"/>
        <v/>
      </c>
      <c r="P7" s="31"/>
      <c r="Q7" s="21"/>
      <c r="R7" s="21"/>
      <c r="S7" s="22"/>
      <c r="T7" s="21"/>
      <c r="U7" s="32"/>
      <c r="V7" s="22"/>
    </row>
    <row r="8" spans="1:24" ht="10.050000000000001" customHeight="1" thickBot="1" x14ac:dyDescent="0.4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8"/>
      <c r="P8" s="20"/>
      <c r="Q8" s="20"/>
      <c r="R8" s="20"/>
      <c r="S8" s="20"/>
      <c r="T8" s="20"/>
      <c r="U8" s="20"/>
      <c r="V8" s="20"/>
      <c r="W8" s="20"/>
      <c r="X8" s="20"/>
    </row>
    <row r="9" spans="1:24" ht="30" customHeight="1" x14ac:dyDescent="0.4">
      <c r="A9" s="95" t="s">
        <v>11</v>
      </c>
      <c r="B9" s="96"/>
      <c r="C9" s="97" t="s">
        <v>12</v>
      </c>
      <c r="D9" s="98"/>
      <c r="E9" s="101" t="s">
        <v>27</v>
      </c>
      <c r="F9" s="2" t="s">
        <v>13</v>
      </c>
      <c r="G9" s="103" t="s">
        <v>26</v>
      </c>
      <c r="H9" s="104"/>
      <c r="I9" s="105"/>
      <c r="J9" s="106" t="s">
        <v>29</v>
      </c>
      <c r="K9" s="105"/>
      <c r="L9" s="107" t="s">
        <v>14</v>
      </c>
      <c r="M9" s="84" t="s">
        <v>15</v>
      </c>
      <c r="N9" s="85"/>
      <c r="P9" s="20"/>
      <c r="Q9" s="20"/>
      <c r="R9" s="20"/>
      <c r="S9" s="20"/>
      <c r="T9" s="20"/>
      <c r="U9" s="20"/>
      <c r="V9" s="20"/>
      <c r="W9" s="20"/>
      <c r="X9" s="20"/>
    </row>
    <row r="10" spans="1:24" ht="30" customHeight="1" x14ac:dyDescent="0.4">
      <c r="A10" s="3" t="s">
        <v>16</v>
      </c>
      <c r="B10" s="4" t="s">
        <v>17</v>
      </c>
      <c r="C10" s="99"/>
      <c r="D10" s="100"/>
      <c r="E10" s="102"/>
      <c r="F10" s="5" t="s">
        <v>18</v>
      </c>
      <c r="G10" s="86" t="s">
        <v>19</v>
      </c>
      <c r="H10" s="87"/>
      <c r="I10" s="88"/>
      <c r="J10" s="86" t="s">
        <v>19</v>
      </c>
      <c r="K10" s="88"/>
      <c r="L10" s="100"/>
      <c r="M10" s="5" t="s">
        <v>20</v>
      </c>
      <c r="N10" s="6" t="s">
        <v>21</v>
      </c>
      <c r="P10" s="20"/>
      <c r="Q10" s="20"/>
      <c r="R10" s="20"/>
      <c r="S10" s="20"/>
      <c r="T10" s="20"/>
      <c r="U10" s="20"/>
      <c r="V10" s="20"/>
      <c r="W10" s="20"/>
      <c r="X10" s="20"/>
    </row>
    <row r="11" spans="1:24" ht="30" customHeight="1" x14ac:dyDescent="0.4">
      <c r="A11" s="62" t="str">
        <f>IF(AND(A13&lt;&gt;"", P2&lt;&gt;""), IF(A13=P2, U2 &amp; " (수직)", ""), "")</f>
        <v/>
      </c>
      <c r="B11" s="63"/>
      <c r="C11" s="89"/>
      <c r="D11" s="90"/>
      <c r="E11" s="12" t="str">
        <f t="shared" ref="E11:E34" si="2">IF(O11&lt;&gt;"",ROUND((O11*F11/1000),1),"")</f>
        <v/>
      </c>
      <c r="F11" s="7" t="str">
        <f t="shared" ref="F11:F34" si="3">IF(O11&lt;&gt;"","7854","")</f>
        <v/>
      </c>
      <c r="G11" s="72">
        <f t="shared" ref="G11:G34" si="4">TRUNC(O11,1)</f>
        <v>0</v>
      </c>
      <c r="H11" s="73"/>
      <c r="I11" s="74"/>
      <c r="J11" s="75">
        <f>TRUNC((G11+G12+G13)/3*0.97,1)</f>
        <v>0</v>
      </c>
      <c r="K11" s="76"/>
      <c r="L11" s="81" t="str">
        <f>IF(J11&gt;=5,"합격","")</f>
        <v/>
      </c>
      <c r="M11" s="50"/>
      <c r="N11" s="53"/>
      <c r="O11" s="11"/>
    </row>
    <row r="12" spans="1:24" ht="30" customHeight="1" x14ac:dyDescent="0.4">
      <c r="A12" s="64"/>
      <c r="B12" s="65"/>
      <c r="C12" s="91"/>
      <c r="D12" s="92"/>
      <c r="E12" s="13" t="str">
        <f t="shared" si="2"/>
        <v/>
      </c>
      <c r="F12" s="8" t="str">
        <f t="shared" si="3"/>
        <v/>
      </c>
      <c r="G12" s="56">
        <f t="shared" si="4"/>
        <v>0</v>
      </c>
      <c r="H12" s="57"/>
      <c r="I12" s="58"/>
      <c r="J12" s="77"/>
      <c r="K12" s="78"/>
      <c r="L12" s="82"/>
      <c r="M12" s="51"/>
      <c r="N12" s="54"/>
      <c r="O12" s="11"/>
    </row>
    <row r="13" spans="1:24" ht="30" customHeight="1" x14ac:dyDescent="0.4">
      <c r="A13" s="15">
        <f>P2</f>
        <v>0</v>
      </c>
      <c r="B13" s="10">
        <f>Q2</f>
        <v>0</v>
      </c>
      <c r="C13" s="93"/>
      <c r="D13" s="94"/>
      <c r="E13" s="14" t="str">
        <f t="shared" si="2"/>
        <v/>
      </c>
      <c r="F13" s="9" t="str">
        <f t="shared" si="3"/>
        <v/>
      </c>
      <c r="G13" s="59">
        <f t="shared" si="4"/>
        <v>0</v>
      </c>
      <c r="H13" s="60"/>
      <c r="I13" s="61"/>
      <c r="J13" s="79"/>
      <c r="K13" s="80"/>
      <c r="L13" s="83"/>
      <c r="M13" s="52"/>
      <c r="N13" s="55"/>
      <c r="O13" s="11"/>
    </row>
    <row r="14" spans="1:24" ht="30" customHeight="1" x14ac:dyDescent="0.4">
      <c r="A14" s="62" t="str">
        <f>IF(AND(A16&lt;&gt;"", P3&lt;&gt;""), IF(A16=P3, U3 &amp; " (수직)", ""), "")</f>
        <v/>
      </c>
      <c r="B14" s="63"/>
      <c r="C14" s="66" t="str">
        <f>IF(L14&lt;&gt;"",$C$11,"")</f>
        <v/>
      </c>
      <c r="D14" s="67"/>
      <c r="E14" s="12" t="str">
        <f t="shared" si="2"/>
        <v/>
      </c>
      <c r="F14" s="7" t="str">
        <f t="shared" si="3"/>
        <v/>
      </c>
      <c r="G14" s="72">
        <f t="shared" si="4"/>
        <v>0</v>
      </c>
      <c r="H14" s="73"/>
      <c r="I14" s="74"/>
      <c r="J14" s="75">
        <f>TRUNC((G14+G15+G16)/3*0.97,1)</f>
        <v>0</v>
      </c>
      <c r="K14" s="76"/>
      <c r="L14" s="81" t="str">
        <f>IF(J14&gt;=5,"합격","")</f>
        <v/>
      </c>
      <c r="M14" s="50"/>
      <c r="N14" s="53"/>
      <c r="O14" s="11"/>
    </row>
    <row r="15" spans="1:24" ht="30" customHeight="1" x14ac:dyDescent="0.4">
      <c r="A15" s="64"/>
      <c r="B15" s="65"/>
      <c r="C15" s="68"/>
      <c r="D15" s="69"/>
      <c r="E15" s="13" t="str">
        <f t="shared" si="2"/>
        <v/>
      </c>
      <c r="F15" s="8" t="str">
        <f t="shared" si="3"/>
        <v/>
      </c>
      <c r="G15" s="56">
        <f t="shared" si="4"/>
        <v>0</v>
      </c>
      <c r="H15" s="57"/>
      <c r="I15" s="58"/>
      <c r="J15" s="77"/>
      <c r="K15" s="78"/>
      <c r="L15" s="82"/>
      <c r="M15" s="51"/>
      <c r="N15" s="54"/>
      <c r="O15" s="11"/>
    </row>
    <row r="16" spans="1:24" ht="30" customHeight="1" x14ac:dyDescent="0.4">
      <c r="A16" s="15">
        <f>P3</f>
        <v>0</v>
      </c>
      <c r="B16" s="10">
        <f>Q3</f>
        <v>0</v>
      </c>
      <c r="C16" s="70"/>
      <c r="D16" s="71"/>
      <c r="E16" s="14" t="str">
        <f t="shared" si="2"/>
        <v/>
      </c>
      <c r="F16" s="9" t="str">
        <f t="shared" si="3"/>
        <v/>
      </c>
      <c r="G16" s="59">
        <f t="shared" si="4"/>
        <v>0</v>
      </c>
      <c r="H16" s="60"/>
      <c r="I16" s="61"/>
      <c r="J16" s="79"/>
      <c r="K16" s="80"/>
      <c r="L16" s="83"/>
      <c r="M16" s="52"/>
      <c r="N16" s="55"/>
      <c r="O16" s="11"/>
    </row>
    <row r="17" spans="1:15" ht="30" customHeight="1" x14ac:dyDescent="0.4">
      <c r="A17" s="62" t="str">
        <f>IF(AND(A19&lt;&gt;"", P4&lt;&gt;""), IF(A19=P4, U4 &amp; " (수직)", ""), "")</f>
        <v/>
      </c>
      <c r="B17" s="63"/>
      <c r="C17" s="66" t="str">
        <f>IF(L17&lt;&gt;"",$C$11,"")</f>
        <v/>
      </c>
      <c r="D17" s="67"/>
      <c r="E17" s="12" t="str">
        <f t="shared" si="2"/>
        <v/>
      </c>
      <c r="F17" s="7" t="str">
        <f t="shared" si="3"/>
        <v/>
      </c>
      <c r="G17" s="72">
        <f t="shared" si="4"/>
        <v>0</v>
      </c>
      <c r="H17" s="73"/>
      <c r="I17" s="74"/>
      <c r="J17" s="75">
        <f>TRUNC((G17+G18+G19)/3*0.97,1)</f>
        <v>0</v>
      </c>
      <c r="K17" s="76"/>
      <c r="L17" s="81" t="str">
        <f>IF(J17&gt;=5,"합격","")</f>
        <v/>
      </c>
      <c r="M17" s="50"/>
      <c r="N17" s="53"/>
      <c r="O17" s="11"/>
    </row>
    <row r="18" spans="1:15" ht="30" customHeight="1" x14ac:dyDescent="0.4">
      <c r="A18" s="64"/>
      <c r="B18" s="65"/>
      <c r="C18" s="68"/>
      <c r="D18" s="69"/>
      <c r="E18" s="13" t="str">
        <f t="shared" si="2"/>
        <v/>
      </c>
      <c r="F18" s="8" t="str">
        <f t="shared" si="3"/>
        <v/>
      </c>
      <c r="G18" s="56">
        <f t="shared" si="4"/>
        <v>0</v>
      </c>
      <c r="H18" s="57"/>
      <c r="I18" s="58"/>
      <c r="J18" s="77"/>
      <c r="K18" s="78"/>
      <c r="L18" s="82"/>
      <c r="M18" s="51"/>
      <c r="N18" s="54"/>
      <c r="O18" s="11"/>
    </row>
    <row r="19" spans="1:15" ht="30" customHeight="1" x14ac:dyDescent="0.4">
      <c r="A19" s="15">
        <f>P4</f>
        <v>0</v>
      </c>
      <c r="B19" s="10">
        <f>Q4</f>
        <v>0</v>
      </c>
      <c r="C19" s="70"/>
      <c r="D19" s="71"/>
      <c r="E19" s="14" t="str">
        <f t="shared" si="2"/>
        <v/>
      </c>
      <c r="F19" s="9" t="str">
        <f t="shared" si="3"/>
        <v/>
      </c>
      <c r="G19" s="59">
        <f t="shared" si="4"/>
        <v>0</v>
      </c>
      <c r="H19" s="60"/>
      <c r="I19" s="61"/>
      <c r="J19" s="79"/>
      <c r="K19" s="80"/>
      <c r="L19" s="83"/>
      <c r="M19" s="52"/>
      <c r="N19" s="55"/>
      <c r="O19" s="11"/>
    </row>
    <row r="20" spans="1:15" ht="30" customHeight="1" x14ac:dyDescent="0.4">
      <c r="A20" s="62" t="str">
        <f>IF(AND(A22&lt;&gt;"", P5&lt;&gt;""), IF(A22=P5, U5 &amp; " (수직)", ""), "")</f>
        <v/>
      </c>
      <c r="B20" s="63"/>
      <c r="C20" s="66" t="str">
        <f>IF(L20&lt;&gt;"",$C$11,"")</f>
        <v/>
      </c>
      <c r="D20" s="67"/>
      <c r="E20" s="12" t="str">
        <f t="shared" si="2"/>
        <v/>
      </c>
      <c r="F20" s="7" t="str">
        <f t="shared" si="3"/>
        <v/>
      </c>
      <c r="G20" s="72">
        <f t="shared" si="4"/>
        <v>0</v>
      </c>
      <c r="H20" s="73"/>
      <c r="I20" s="74"/>
      <c r="J20" s="75">
        <f>TRUNC((G20+G21+G22)/3*0.97,1)</f>
        <v>0</v>
      </c>
      <c r="K20" s="76"/>
      <c r="L20" s="81" t="str">
        <f>IF(J20&gt;=5,"합격","")</f>
        <v/>
      </c>
      <c r="M20" s="50"/>
      <c r="N20" s="53"/>
      <c r="O20" s="11"/>
    </row>
    <row r="21" spans="1:15" ht="30" customHeight="1" x14ac:dyDescent="0.4">
      <c r="A21" s="64"/>
      <c r="B21" s="65"/>
      <c r="C21" s="68"/>
      <c r="D21" s="69"/>
      <c r="E21" s="13" t="str">
        <f t="shared" si="2"/>
        <v/>
      </c>
      <c r="F21" s="8" t="str">
        <f t="shared" si="3"/>
        <v/>
      </c>
      <c r="G21" s="56">
        <f t="shared" si="4"/>
        <v>0</v>
      </c>
      <c r="H21" s="57"/>
      <c r="I21" s="58"/>
      <c r="J21" s="77"/>
      <c r="K21" s="78"/>
      <c r="L21" s="82"/>
      <c r="M21" s="51"/>
      <c r="N21" s="54"/>
      <c r="O21" s="11"/>
    </row>
    <row r="22" spans="1:15" ht="30" customHeight="1" x14ac:dyDescent="0.4">
      <c r="A22" s="15">
        <f>+P5</f>
        <v>0</v>
      </c>
      <c r="B22" s="24">
        <f>+Q5</f>
        <v>0</v>
      </c>
      <c r="C22" s="70"/>
      <c r="D22" s="71"/>
      <c r="E22" s="14" t="str">
        <f t="shared" si="2"/>
        <v/>
      </c>
      <c r="F22" s="9" t="str">
        <f t="shared" si="3"/>
        <v/>
      </c>
      <c r="G22" s="59">
        <f t="shared" si="4"/>
        <v>0</v>
      </c>
      <c r="H22" s="60"/>
      <c r="I22" s="61"/>
      <c r="J22" s="79"/>
      <c r="K22" s="80"/>
      <c r="L22" s="83"/>
      <c r="M22" s="52"/>
      <c r="N22" s="55"/>
      <c r="O22" s="11"/>
    </row>
    <row r="23" spans="1:15" ht="30" customHeight="1" x14ac:dyDescent="0.4">
      <c r="A23" s="62" t="str">
        <f>IF(AND(A25&lt;&gt;"", P6&lt;&gt;""), IF(A25=P6, U6 &amp; " (수직)", ""), "")</f>
        <v/>
      </c>
      <c r="B23" s="63"/>
      <c r="C23" s="66" t="str">
        <f>IF(L23&lt;&gt;"",$C$11,"")</f>
        <v/>
      </c>
      <c r="D23" s="67"/>
      <c r="E23" s="12" t="str">
        <f t="shared" si="2"/>
        <v/>
      </c>
      <c r="F23" s="7" t="str">
        <f t="shared" si="3"/>
        <v/>
      </c>
      <c r="G23" s="72">
        <f t="shared" si="4"/>
        <v>0</v>
      </c>
      <c r="H23" s="73"/>
      <c r="I23" s="74"/>
      <c r="J23" s="75">
        <f>TRUNC((G23+G24+G25)/3*0.97,1)</f>
        <v>0</v>
      </c>
      <c r="K23" s="76"/>
      <c r="L23" s="81" t="str">
        <f>IF(J23&gt;=5,"합격","")</f>
        <v/>
      </c>
      <c r="M23" s="50"/>
      <c r="N23" s="53"/>
      <c r="O23" s="11"/>
    </row>
    <row r="24" spans="1:15" ht="30" customHeight="1" x14ac:dyDescent="0.4">
      <c r="A24" s="64"/>
      <c r="B24" s="65"/>
      <c r="C24" s="68"/>
      <c r="D24" s="69"/>
      <c r="E24" s="13" t="str">
        <f t="shared" si="2"/>
        <v/>
      </c>
      <c r="F24" s="8" t="str">
        <f t="shared" si="3"/>
        <v/>
      </c>
      <c r="G24" s="56">
        <f t="shared" si="4"/>
        <v>0</v>
      </c>
      <c r="H24" s="57"/>
      <c r="I24" s="58"/>
      <c r="J24" s="77"/>
      <c r="K24" s="78"/>
      <c r="L24" s="82"/>
      <c r="M24" s="51"/>
      <c r="N24" s="54"/>
      <c r="O24" s="11"/>
    </row>
    <row r="25" spans="1:15" ht="30" customHeight="1" x14ac:dyDescent="0.4">
      <c r="A25" s="15">
        <f>+P6</f>
        <v>0</v>
      </c>
      <c r="B25" s="10">
        <f>+Q6</f>
        <v>0</v>
      </c>
      <c r="C25" s="70"/>
      <c r="D25" s="71"/>
      <c r="E25" s="14" t="str">
        <f t="shared" si="2"/>
        <v/>
      </c>
      <c r="F25" s="9" t="str">
        <f t="shared" si="3"/>
        <v/>
      </c>
      <c r="G25" s="59">
        <f t="shared" si="4"/>
        <v>0</v>
      </c>
      <c r="H25" s="60"/>
      <c r="I25" s="61"/>
      <c r="J25" s="79"/>
      <c r="K25" s="80"/>
      <c r="L25" s="83"/>
      <c r="M25" s="52"/>
      <c r="N25" s="55"/>
      <c r="O25" s="11"/>
    </row>
    <row r="26" spans="1:15" ht="30" customHeight="1" x14ac:dyDescent="0.4">
      <c r="A26" s="62"/>
      <c r="B26" s="63"/>
      <c r="C26" s="66" t="str">
        <f>IF(L26&lt;&gt;"",$C$11,"")</f>
        <v/>
      </c>
      <c r="D26" s="67"/>
      <c r="E26" s="12" t="str">
        <f t="shared" si="2"/>
        <v/>
      </c>
      <c r="F26" s="7" t="str">
        <f t="shared" si="3"/>
        <v/>
      </c>
      <c r="G26" s="72">
        <f t="shared" si="4"/>
        <v>0</v>
      </c>
      <c r="H26" s="73"/>
      <c r="I26" s="74"/>
      <c r="J26" s="75">
        <f>TRUNC((G26+G27+G28)/3*0.97,1)</f>
        <v>0</v>
      </c>
      <c r="K26" s="76"/>
      <c r="L26" s="81" t="str">
        <f>IF(J26&gt;=5,"합격","")</f>
        <v/>
      </c>
      <c r="M26" s="50"/>
      <c r="N26" s="53"/>
      <c r="O26" s="11"/>
    </row>
    <row r="27" spans="1:15" ht="30" customHeight="1" x14ac:dyDescent="0.4">
      <c r="A27" s="64"/>
      <c r="B27" s="65"/>
      <c r="C27" s="68"/>
      <c r="D27" s="69"/>
      <c r="E27" s="13" t="str">
        <f t="shared" si="2"/>
        <v/>
      </c>
      <c r="F27" s="8" t="str">
        <f t="shared" si="3"/>
        <v/>
      </c>
      <c r="G27" s="56">
        <f t="shared" si="4"/>
        <v>0</v>
      </c>
      <c r="H27" s="57"/>
      <c r="I27" s="58"/>
      <c r="J27" s="77"/>
      <c r="K27" s="78"/>
      <c r="L27" s="82"/>
      <c r="M27" s="51"/>
      <c r="N27" s="54"/>
      <c r="O27" s="11"/>
    </row>
    <row r="28" spans="1:15" ht="30" customHeight="1" x14ac:dyDescent="0.4">
      <c r="A28" s="15"/>
      <c r="B28" s="23"/>
      <c r="C28" s="70"/>
      <c r="D28" s="71"/>
      <c r="E28" s="14" t="str">
        <f t="shared" si="2"/>
        <v/>
      </c>
      <c r="F28" s="9" t="str">
        <f t="shared" si="3"/>
        <v/>
      </c>
      <c r="G28" s="59">
        <f t="shared" si="4"/>
        <v>0</v>
      </c>
      <c r="H28" s="60"/>
      <c r="I28" s="61"/>
      <c r="J28" s="79"/>
      <c r="K28" s="80"/>
      <c r="L28" s="83"/>
      <c r="M28" s="52"/>
      <c r="N28" s="55"/>
      <c r="O28" s="11"/>
    </row>
    <row r="29" spans="1:15" ht="30" customHeight="1" x14ac:dyDescent="0.4">
      <c r="A29" s="62"/>
      <c r="B29" s="63"/>
      <c r="C29" s="66" t="str">
        <f>IF(L29&lt;&gt;"",$C$11,"")</f>
        <v/>
      </c>
      <c r="D29" s="67"/>
      <c r="E29" s="12" t="str">
        <f t="shared" si="2"/>
        <v/>
      </c>
      <c r="F29" s="7" t="str">
        <f t="shared" si="3"/>
        <v/>
      </c>
      <c r="G29" s="72">
        <f t="shared" si="4"/>
        <v>0</v>
      </c>
      <c r="H29" s="73"/>
      <c r="I29" s="74"/>
      <c r="J29" s="75">
        <f>TRUNC((G29+G30+G31)/3*0.97,1)</f>
        <v>0</v>
      </c>
      <c r="K29" s="76"/>
      <c r="L29" s="81" t="str">
        <f>IF(J29&gt;=5,"합격","")</f>
        <v/>
      </c>
      <c r="M29" s="50"/>
      <c r="N29" s="53"/>
      <c r="O29" s="11"/>
    </row>
    <row r="30" spans="1:15" ht="30" customHeight="1" x14ac:dyDescent="0.4">
      <c r="A30" s="64"/>
      <c r="B30" s="65"/>
      <c r="C30" s="68"/>
      <c r="D30" s="69"/>
      <c r="E30" s="13" t="str">
        <f t="shared" si="2"/>
        <v/>
      </c>
      <c r="F30" s="8" t="str">
        <f t="shared" si="3"/>
        <v/>
      </c>
      <c r="G30" s="56">
        <f t="shared" si="4"/>
        <v>0</v>
      </c>
      <c r="H30" s="57"/>
      <c r="I30" s="58"/>
      <c r="J30" s="77"/>
      <c r="K30" s="78"/>
      <c r="L30" s="82"/>
      <c r="M30" s="51"/>
      <c r="N30" s="54"/>
      <c r="O30" s="11"/>
    </row>
    <row r="31" spans="1:15" ht="30" customHeight="1" x14ac:dyDescent="0.4">
      <c r="A31" s="15"/>
      <c r="B31" s="10"/>
      <c r="C31" s="70"/>
      <c r="D31" s="71"/>
      <c r="E31" s="14" t="str">
        <f t="shared" si="2"/>
        <v/>
      </c>
      <c r="F31" s="9" t="str">
        <f t="shared" si="3"/>
        <v/>
      </c>
      <c r="G31" s="59">
        <f t="shared" si="4"/>
        <v>0</v>
      </c>
      <c r="H31" s="60"/>
      <c r="I31" s="61"/>
      <c r="J31" s="79"/>
      <c r="K31" s="80"/>
      <c r="L31" s="83"/>
      <c r="M31" s="52"/>
      <c r="N31" s="55"/>
      <c r="O31" s="11"/>
    </row>
    <row r="32" spans="1:15" ht="30" customHeight="1" x14ac:dyDescent="0.4">
      <c r="A32" s="62"/>
      <c r="B32" s="63"/>
      <c r="C32" s="66" t="str">
        <f>IF(L32&lt;&gt;"",$C$11,"")</f>
        <v/>
      </c>
      <c r="D32" s="67"/>
      <c r="E32" s="12" t="str">
        <f t="shared" si="2"/>
        <v/>
      </c>
      <c r="F32" s="7" t="str">
        <f t="shared" si="3"/>
        <v/>
      </c>
      <c r="G32" s="72">
        <f t="shared" si="4"/>
        <v>0</v>
      </c>
      <c r="H32" s="73"/>
      <c r="I32" s="74"/>
      <c r="J32" s="75">
        <f>TRUNC((G32+G33+G34)/3*0.97,1)</f>
        <v>0</v>
      </c>
      <c r="K32" s="76"/>
      <c r="L32" s="81" t="str">
        <f>IF(J32&gt;=5,"합격","")</f>
        <v/>
      </c>
      <c r="M32" s="50"/>
      <c r="N32" s="53"/>
      <c r="O32" s="11"/>
    </row>
    <row r="33" spans="1:15" ht="30" customHeight="1" x14ac:dyDescent="0.4">
      <c r="A33" s="64"/>
      <c r="B33" s="65"/>
      <c r="C33" s="68"/>
      <c r="D33" s="69"/>
      <c r="E33" s="13" t="str">
        <f t="shared" si="2"/>
        <v/>
      </c>
      <c r="F33" s="8" t="str">
        <f t="shared" si="3"/>
        <v/>
      </c>
      <c r="G33" s="56">
        <f t="shared" si="4"/>
        <v>0</v>
      </c>
      <c r="H33" s="57"/>
      <c r="I33" s="58"/>
      <c r="J33" s="77"/>
      <c r="K33" s="78"/>
      <c r="L33" s="82"/>
      <c r="M33" s="51"/>
      <c r="N33" s="54"/>
      <c r="O33" s="11"/>
    </row>
    <row r="34" spans="1:15" ht="30" customHeight="1" x14ac:dyDescent="0.4">
      <c r="A34" s="15"/>
      <c r="B34" s="24"/>
      <c r="C34" s="70"/>
      <c r="D34" s="71"/>
      <c r="E34" s="14" t="str">
        <f t="shared" si="2"/>
        <v/>
      </c>
      <c r="F34" s="9" t="str">
        <f t="shared" si="3"/>
        <v/>
      </c>
      <c r="G34" s="59">
        <f t="shared" si="4"/>
        <v>0</v>
      </c>
      <c r="H34" s="60"/>
      <c r="I34" s="61"/>
      <c r="J34" s="79"/>
      <c r="K34" s="80"/>
      <c r="L34" s="83"/>
      <c r="M34" s="52"/>
      <c r="N34" s="55"/>
      <c r="O34" s="11"/>
    </row>
    <row r="35" spans="1:15" ht="30" customHeight="1" x14ac:dyDescent="0.4">
      <c r="A35" s="33" t="s">
        <v>22</v>
      </c>
      <c r="B35" s="34"/>
      <c r="C35" s="35" t="s">
        <v>28</v>
      </c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7"/>
    </row>
    <row r="36" spans="1:15" ht="30" customHeight="1" x14ac:dyDescent="0.4">
      <c r="A36" s="38" t="s">
        <v>23</v>
      </c>
      <c r="B36" s="39"/>
      <c r="C36" s="35" t="s">
        <v>24</v>
      </c>
      <c r="D36" s="42"/>
      <c r="E36" s="42"/>
      <c r="F36" s="43"/>
      <c r="G36" s="35" t="s">
        <v>25</v>
      </c>
      <c r="H36" s="47"/>
      <c r="I36" s="42"/>
      <c r="J36" s="42"/>
      <c r="K36" s="42"/>
      <c r="L36" s="42"/>
      <c r="M36" s="42"/>
      <c r="N36" s="48"/>
    </row>
    <row r="37" spans="1:15" ht="30" customHeight="1" thickBot="1" x14ac:dyDescent="0.45">
      <c r="A37" s="40"/>
      <c r="B37" s="41"/>
      <c r="C37" s="44"/>
      <c r="D37" s="45"/>
      <c r="E37" s="45"/>
      <c r="F37" s="46"/>
      <c r="G37" s="44"/>
      <c r="H37" s="45"/>
      <c r="I37" s="45"/>
      <c r="J37" s="45"/>
      <c r="K37" s="45"/>
      <c r="L37" s="45"/>
      <c r="M37" s="45"/>
      <c r="N37" s="49"/>
    </row>
  </sheetData>
  <mergeCells count="106">
    <mergeCell ref="A1:N2"/>
    <mergeCell ref="A3:N3"/>
    <mergeCell ref="A4:C4"/>
    <mergeCell ref="D4:G4"/>
    <mergeCell ref="H4:J4"/>
    <mergeCell ref="K4:N4"/>
    <mergeCell ref="A7:C7"/>
    <mergeCell ref="D7:G7"/>
    <mergeCell ref="H7:J7"/>
    <mergeCell ref="K7:N7"/>
    <mergeCell ref="A8:K8"/>
    <mergeCell ref="L8:N8"/>
    <mergeCell ref="A5:C5"/>
    <mergeCell ref="D5:G5"/>
    <mergeCell ref="H5:J5"/>
    <mergeCell ref="K5:N5"/>
    <mergeCell ref="A6:C6"/>
    <mergeCell ref="D6:G6"/>
    <mergeCell ref="H6:J6"/>
    <mergeCell ref="K6:N6"/>
    <mergeCell ref="G12:I12"/>
    <mergeCell ref="G13:I13"/>
    <mergeCell ref="A14:B15"/>
    <mergeCell ref="C14:D16"/>
    <mergeCell ref="G14:I14"/>
    <mergeCell ref="J14:K16"/>
    <mergeCell ref="M9:N9"/>
    <mergeCell ref="G10:I10"/>
    <mergeCell ref="J10:K10"/>
    <mergeCell ref="A11:B12"/>
    <mergeCell ref="C11:D13"/>
    <mergeCell ref="G11:I11"/>
    <mergeCell ref="J11:K13"/>
    <mergeCell ref="L11:L13"/>
    <mergeCell ref="M11:M13"/>
    <mergeCell ref="N11:N13"/>
    <mergeCell ref="A9:B9"/>
    <mergeCell ref="C9:D10"/>
    <mergeCell ref="E9:E10"/>
    <mergeCell ref="G9:I9"/>
    <mergeCell ref="J9:K9"/>
    <mergeCell ref="L9:L10"/>
    <mergeCell ref="L14:L16"/>
    <mergeCell ref="M14:M16"/>
    <mergeCell ref="N14:N16"/>
    <mergeCell ref="G15:I15"/>
    <mergeCell ref="G16:I16"/>
    <mergeCell ref="A17:B18"/>
    <mergeCell ref="C17:D19"/>
    <mergeCell ref="G17:I17"/>
    <mergeCell ref="J17:K19"/>
    <mergeCell ref="L17:L19"/>
    <mergeCell ref="M17:M19"/>
    <mergeCell ref="N17:N19"/>
    <mergeCell ref="G18:I18"/>
    <mergeCell ref="G19:I19"/>
    <mergeCell ref="N20:N22"/>
    <mergeCell ref="G21:I21"/>
    <mergeCell ref="G22:I22"/>
    <mergeCell ref="A23:B24"/>
    <mergeCell ref="C23:D25"/>
    <mergeCell ref="G23:I23"/>
    <mergeCell ref="J23:K25"/>
    <mergeCell ref="L23:L25"/>
    <mergeCell ref="M23:M25"/>
    <mergeCell ref="N23:N25"/>
    <mergeCell ref="A20:B21"/>
    <mergeCell ref="C20:D22"/>
    <mergeCell ref="G20:I20"/>
    <mergeCell ref="J20:K22"/>
    <mergeCell ref="L20:L22"/>
    <mergeCell ref="M20:M22"/>
    <mergeCell ref="G24:I24"/>
    <mergeCell ref="G25:I25"/>
    <mergeCell ref="N26:N28"/>
    <mergeCell ref="G27:I27"/>
    <mergeCell ref="G28:I28"/>
    <mergeCell ref="A29:B30"/>
    <mergeCell ref="C29:D31"/>
    <mergeCell ref="G29:I29"/>
    <mergeCell ref="J29:K31"/>
    <mergeCell ref="L29:L31"/>
    <mergeCell ref="N32:N34"/>
    <mergeCell ref="G33:I33"/>
    <mergeCell ref="G34:I34"/>
    <mergeCell ref="A26:B27"/>
    <mergeCell ref="C26:D28"/>
    <mergeCell ref="G26:I26"/>
    <mergeCell ref="J26:K28"/>
    <mergeCell ref="L26:L28"/>
    <mergeCell ref="M26:M28"/>
    <mergeCell ref="A35:B35"/>
    <mergeCell ref="C35:N35"/>
    <mergeCell ref="A36:B37"/>
    <mergeCell ref="C36:F37"/>
    <mergeCell ref="G36:N37"/>
    <mergeCell ref="M29:M31"/>
    <mergeCell ref="N29:N31"/>
    <mergeCell ref="G30:I30"/>
    <mergeCell ref="G31:I31"/>
    <mergeCell ref="A32:B33"/>
    <mergeCell ref="C32:D34"/>
    <mergeCell ref="G32:I32"/>
    <mergeCell ref="J32:K34"/>
    <mergeCell ref="L32:L34"/>
    <mergeCell ref="M32:M34"/>
  </mergeCells>
  <phoneticPr fontId="5" type="noConversion"/>
  <conditionalFormatting sqref="W1">
    <cfRule type="containsText" dxfId="3" priority="1" operator="containsText" text="완료">
      <formula>NOT(ISERROR(SEARCH("완료",W1)))</formula>
    </cfRule>
    <cfRule type="containsText" dxfId="2" priority="2" operator="containsText" text="결재중">
      <formula>NOT(ISERROR(SEARCH("결재중",W1)))</formula>
    </cfRule>
    <cfRule type="containsText" dxfId="1" priority="3" operator="containsText" text="시험중">
      <formula>NOT(ISERROR(SEARCH("시험중",W1)))</formula>
    </cfRule>
    <cfRule type="containsText" dxfId="0" priority="4" operator="containsText" text="타설중">
      <formula>NOT(ISERROR(SEARCH("타설중",W1)))</formula>
    </cfRule>
  </conditionalFormatting>
  <printOptions horizontalCentered="1"/>
  <pageMargins left="0.70866141732283461" right="0.70866141732283461" top="0.74803149606299213" bottom="0.74803149606299213" header="0.31496062992125984" footer="0.31496062992125984"/>
  <pageSetup paperSize="9" scale="61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63D13-8BB3-44B0-B6D8-29E67778D271}">
  <sheetPr codeName="Sheet1"/>
  <dimension ref="A1:AF11"/>
  <sheetViews>
    <sheetView tabSelected="1" view="pageBreakPreview" topLeftCell="C1" zoomScale="40" zoomScaleNormal="100" zoomScaleSheetLayoutView="40" workbookViewId="0">
      <selection activeCell="B44" sqref="B44"/>
    </sheetView>
  </sheetViews>
  <sheetFormatPr defaultColWidth="9" defaultRowHeight="17.399999999999999" x14ac:dyDescent="0.4"/>
  <cols>
    <col min="1" max="1" width="10.59765625" style="25" customWidth="1"/>
    <col min="2" max="2" width="43.59765625" style="25" customWidth="1"/>
    <col min="3" max="3" width="10.59765625" style="25" customWidth="1"/>
    <col min="4" max="4" width="15.59765625" style="25" customWidth="1"/>
    <col min="5" max="5" width="10.59765625" style="25" customWidth="1"/>
    <col min="6" max="6" width="43.59765625" style="25" customWidth="1"/>
    <col min="7" max="7" width="10.59765625" style="25" customWidth="1"/>
    <col min="8" max="8" width="15.59765625" style="25" customWidth="1"/>
    <col min="9" max="9" width="10.59765625" style="25" customWidth="1"/>
    <col min="10" max="10" width="43.59765625" style="25" customWidth="1"/>
    <col min="11" max="11" width="10.59765625" style="25" customWidth="1"/>
    <col min="12" max="12" width="15.59765625" style="25" customWidth="1"/>
    <col min="13" max="13" width="10.59765625" style="25" customWidth="1"/>
    <col min="14" max="14" width="43.59765625" style="25" customWidth="1"/>
    <col min="15" max="15" width="10.59765625" style="25" customWidth="1"/>
    <col min="16" max="16" width="15.59765625" style="25" customWidth="1"/>
    <col min="17" max="17" width="10.59765625" style="25" customWidth="1"/>
    <col min="18" max="18" width="43.59765625" style="25" customWidth="1"/>
    <col min="19" max="19" width="10.59765625" style="25" customWidth="1"/>
    <col min="20" max="20" width="15.59765625" style="25" customWidth="1"/>
    <col min="21" max="21" width="10.59765625" style="25" customWidth="1"/>
    <col min="22" max="22" width="43.59765625" style="25" customWidth="1"/>
    <col min="23" max="23" width="10.59765625" style="25" customWidth="1"/>
    <col min="24" max="24" width="15.59765625" style="25" customWidth="1"/>
    <col min="25" max="25" width="10.59765625" style="25" customWidth="1"/>
    <col min="26" max="26" width="43.59765625" style="25" customWidth="1"/>
    <col min="27" max="27" width="10.59765625" style="25" customWidth="1"/>
    <col min="28" max="28" width="15.59765625" style="25" customWidth="1"/>
    <col min="29" max="29" width="10.59765625" style="25" customWidth="1"/>
    <col min="30" max="30" width="43.59765625" style="25" customWidth="1"/>
    <col min="31" max="31" width="10.59765625" style="25" customWidth="1"/>
    <col min="32" max="32" width="15.59765625" style="25" customWidth="1"/>
    <col min="33" max="16384" width="9" style="25"/>
  </cols>
  <sheetData>
    <row r="1" spans="1:32" ht="45.6" customHeight="1" x14ac:dyDescent="0.4">
      <c r="A1" s="165" t="s">
        <v>39</v>
      </c>
      <c r="B1" s="166"/>
      <c r="C1" s="166"/>
      <c r="D1" s="167"/>
      <c r="E1" s="165" t="s">
        <v>39</v>
      </c>
      <c r="F1" s="166"/>
      <c r="G1" s="166"/>
      <c r="H1" s="167"/>
      <c r="I1" s="165" t="s">
        <v>39</v>
      </c>
      <c r="J1" s="166"/>
      <c r="K1" s="166"/>
      <c r="L1" s="167"/>
      <c r="M1" s="165" t="s">
        <v>39</v>
      </c>
      <c r="N1" s="166"/>
      <c r="O1" s="166"/>
      <c r="P1" s="167"/>
      <c r="Q1" s="165" t="s">
        <v>39</v>
      </c>
      <c r="R1" s="166"/>
      <c r="S1" s="166"/>
      <c r="T1" s="167"/>
      <c r="U1" s="165" t="s">
        <v>39</v>
      </c>
      <c r="V1" s="166"/>
      <c r="W1" s="166"/>
      <c r="X1" s="167"/>
      <c r="Y1" s="165" t="s">
        <v>39</v>
      </c>
      <c r="Z1" s="166"/>
      <c r="AA1" s="166"/>
      <c r="AB1" s="167"/>
      <c r="AC1" s="165" t="s">
        <v>39</v>
      </c>
      <c r="AD1" s="166"/>
      <c r="AE1" s="166"/>
      <c r="AF1" s="167"/>
    </row>
    <row r="2" spans="1:32" ht="273" customHeight="1" x14ac:dyDescent="0.4">
      <c r="A2" s="156"/>
      <c r="B2" s="157"/>
      <c r="C2" s="157"/>
      <c r="D2" s="158"/>
      <c r="E2" s="156"/>
      <c r="F2" s="157"/>
      <c r="G2" s="157"/>
      <c r="H2" s="158"/>
      <c r="I2" s="156"/>
      <c r="J2" s="157"/>
      <c r="K2" s="157"/>
      <c r="L2" s="158"/>
      <c r="M2" s="156"/>
      <c r="N2" s="157"/>
      <c r="O2" s="157"/>
      <c r="P2" s="158"/>
      <c r="Q2" s="156"/>
      <c r="R2" s="157"/>
      <c r="S2" s="157"/>
      <c r="T2" s="158"/>
      <c r="U2" s="156"/>
      <c r="V2" s="157"/>
      <c r="W2" s="157"/>
      <c r="X2" s="158"/>
      <c r="Y2" s="156"/>
      <c r="Z2" s="157"/>
      <c r="AA2" s="157"/>
      <c r="AB2" s="158"/>
      <c r="AC2" s="156"/>
      <c r="AD2" s="157"/>
      <c r="AE2" s="157"/>
      <c r="AF2" s="158"/>
    </row>
    <row r="3" spans="1:32" ht="33" customHeight="1" x14ac:dyDescent="0.4">
      <c r="A3" s="26" t="s">
        <v>40</v>
      </c>
      <c r="B3" s="27" t="s">
        <v>41</v>
      </c>
      <c r="C3" s="28" t="s">
        <v>42</v>
      </c>
      <c r="D3" s="30">
        <f>'0'!C11</f>
        <v>0</v>
      </c>
      <c r="E3" s="26" t="s">
        <v>40</v>
      </c>
      <c r="F3" s="27" t="str">
        <f>B3</f>
        <v>반포 주공1단지(1,2,4주구) 주택 재건축 정비사업</v>
      </c>
      <c r="G3" s="28" t="s">
        <v>42</v>
      </c>
      <c r="H3" s="30">
        <f>D3</f>
        <v>0</v>
      </c>
      <c r="I3" s="26" t="s">
        <v>40</v>
      </c>
      <c r="J3" s="27" t="str">
        <f>B3</f>
        <v>반포 주공1단지(1,2,4주구) 주택 재건축 정비사업</v>
      </c>
      <c r="K3" s="28" t="s">
        <v>42</v>
      </c>
      <c r="L3" s="30">
        <f>D3</f>
        <v>0</v>
      </c>
      <c r="M3" s="26" t="s">
        <v>40</v>
      </c>
      <c r="N3" s="27" t="str">
        <f>B3</f>
        <v>반포 주공1단지(1,2,4주구) 주택 재건축 정비사업</v>
      </c>
      <c r="O3" s="28" t="s">
        <v>42</v>
      </c>
      <c r="P3" s="30">
        <f>L3</f>
        <v>0</v>
      </c>
      <c r="Q3" s="26" t="s">
        <v>40</v>
      </c>
      <c r="R3" s="27" t="s">
        <v>41</v>
      </c>
      <c r="S3" s="28" t="s">
        <v>42</v>
      </c>
      <c r="T3" s="29" t="s">
        <v>45</v>
      </c>
      <c r="U3" s="26" t="s">
        <v>40</v>
      </c>
      <c r="V3" s="27" t="str">
        <f>R3</f>
        <v>반포 주공1단지(1,2,4주구) 주택 재건축 정비사업</v>
      </c>
      <c r="W3" s="28" t="s">
        <v>42</v>
      </c>
      <c r="X3" s="29" t="str">
        <f>T3</f>
        <v>2025.10.27</v>
      </c>
      <c r="Y3" s="26" t="s">
        <v>40</v>
      </c>
      <c r="Z3" s="27" t="str">
        <f>R3</f>
        <v>반포 주공1단지(1,2,4주구) 주택 재건축 정비사업</v>
      </c>
      <c r="AA3" s="28" t="s">
        <v>42</v>
      </c>
      <c r="AB3" s="29" t="str">
        <f>T3</f>
        <v>2025.10.27</v>
      </c>
      <c r="AC3" s="26" t="s">
        <v>40</v>
      </c>
      <c r="AD3" s="27" t="str">
        <f>R3</f>
        <v>반포 주공1단지(1,2,4주구) 주택 재건축 정비사업</v>
      </c>
      <c r="AE3" s="28" t="s">
        <v>42</v>
      </c>
      <c r="AF3" s="29" t="str">
        <f>AB3</f>
        <v>2025.10.27</v>
      </c>
    </row>
    <row r="4" spans="1:32" ht="33" customHeight="1" x14ac:dyDescent="0.4">
      <c r="A4" s="26" t="s">
        <v>43</v>
      </c>
      <c r="B4" s="159">
        <f>'0'!U2</f>
        <v>0</v>
      </c>
      <c r="C4" s="160"/>
      <c r="D4" s="161"/>
      <c r="E4" s="26" t="s">
        <v>43</v>
      </c>
      <c r="F4" s="159">
        <f>B4</f>
        <v>0</v>
      </c>
      <c r="G4" s="160"/>
      <c r="H4" s="161"/>
      <c r="I4" s="26" t="s">
        <v>43</v>
      </c>
      <c r="J4" s="159">
        <f>B4</f>
        <v>0</v>
      </c>
      <c r="K4" s="160"/>
      <c r="L4" s="161"/>
      <c r="M4" s="26" t="s">
        <v>43</v>
      </c>
      <c r="N4" s="159">
        <f>J4</f>
        <v>0</v>
      </c>
      <c r="O4" s="160"/>
      <c r="P4" s="161"/>
      <c r="Q4" s="26" t="s">
        <v>43</v>
      </c>
      <c r="R4" s="159" t="s">
        <v>46</v>
      </c>
      <c r="S4" s="160"/>
      <c r="T4" s="161"/>
      <c r="U4" s="26" t="s">
        <v>43</v>
      </c>
      <c r="V4" s="159" t="str">
        <f>R4</f>
        <v>312동 4F 바닥</v>
      </c>
      <c r="W4" s="160"/>
      <c r="X4" s="161"/>
      <c r="Y4" s="26" t="s">
        <v>43</v>
      </c>
      <c r="Z4" s="159" t="str">
        <f>R4</f>
        <v>312동 4F 바닥</v>
      </c>
      <c r="AA4" s="160"/>
      <c r="AB4" s="161"/>
      <c r="AC4" s="26" t="s">
        <v>43</v>
      </c>
      <c r="AD4" s="159" t="str">
        <f>Z4</f>
        <v>312동 4F 바닥</v>
      </c>
      <c r="AE4" s="160"/>
      <c r="AF4" s="161"/>
    </row>
    <row r="5" spans="1:32" ht="45.6" customHeight="1" x14ac:dyDescent="0.4">
      <c r="A5" s="162" t="s">
        <v>39</v>
      </c>
      <c r="B5" s="163"/>
      <c r="C5" s="163"/>
      <c r="D5" s="164"/>
      <c r="E5" s="162" t="s">
        <v>39</v>
      </c>
      <c r="F5" s="163"/>
      <c r="G5" s="163"/>
      <c r="H5" s="164"/>
      <c r="I5" s="162" t="s">
        <v>39</v>
      </c>
      <c r="J5" s="163"/>
      <c r="K5" s="163"/>
      <c r="L5" s="164"/>
      <c r="M5" s="162" t="s">
        <v>39</v>
      </c>
      <c r="N5" s="163"/>
      <c r="O5" s="163"/>
      <c r="P5" s="164"/>
      <c r="Q5" s="162" t="s">
        <v>39</v>
      </c>
      <c r="R5" s="163"/>
      <c r="S5" s="163"/>
      <c r="T5" s="164"/>
      <c r="U5" s="162" t="s">
        <v>39</v>
      </c>
      <c r="V5" s="163"/>
      <c r="W5" s="163"/>
      <c r="X5" s="164"/>
      <c r="Y5" s="162" t="s">
        <v>39</v>
      </c>
      <c r="Z5" s="163"/>
      <c r="AA5" s="163"/>
      <c r="AB5" s="164"/>
      <c r="AC5" s="162" t="s">
        <v>39</v>
      </c>
      <c r="AD5" s="163"/>
      <c r="AE5" s="163"/>
      <c r="AF5" s="164"/>
    </row>
    <row r="6" spans="1:32" ht="273" customHeight="1" x14ac:dyDescent="0.4">
      <c r="A6" s="156"/>
      <c r="B6" s="157"/>
      <c r="C6" s="157"/>
      <c r="D6" s="158"/>
      <c r="E6" s="156"/>
      <c r="F6" s="157"/>
      <c r="G6" s="157"/>
      <c r="H6" s="158"/>
      <c r="I6" s="156"/>
      <c r="J6" s="157"/>
      <c r="K6" s="157"/>
      <c r="L6" s="158"/>
      <c r="M6" s="156"/>
      <c r="N6" s="157"/>
      <c r="O6" s="157"/>
      <c r="P6" s="158"/>
      <c r="Q6" s="156"/>
      <c r="R6" s="157"/>
      <c r="S6" s="157"/>
      <c r="T6" s="158"/>
      <c r="U6" s="156"/>
      <c r="V6" s="157"/>
      <c r="W6" s="157"/>
      <c r="X6" s="158"/>
      <c r="Y6" s="156"/>
      <c r="Z6" s="157"/>
      <c r="AA6" s="157"/>
      <c r="AB6" s="158"/>
      <c r="AC6" s="156"/>
      <c r="AD6" s="157"/>
      <c r="AE6" s="157"/>
      <c r="AF6" s="158"/>
    </row>
    <row r="7" spans="1:32" ht="33" customHeight="1" x14ac:dyDescent="0.4">
      <c r="A7" s="26" t="s">
        <v>40</v>
      </c>
      <c r="B7" s="27" t="str">
        <f>B3</f>
        <v>반포 주공1단지(1,2,4주구) 주택 재건축 정비사업</v>
      </c>
      <c r="C7" s="28" t="s">
        <v>42</v>
      </c>
      <c r="D7" s="30">
        <f>D3</f>
        <v>0</v>
      </c>
      <c r="E7" s="26" t="s">
        <v>40</v>
      </c>
      <c r="F7" s="27" t="str">
        <f>B3</f>
        <v>반포 주공1단지(1,2,4주구) 주택 재건축 정비사업</v>
      </c>
      <c r="G7" s="28" t="s">
        <v>42</v>
      </c>
      <c r="H7" s="30">
        <f>D3</f>
        <v>0</v>
      </c>
      <c r="I7" s="26" t="s">
        <v>40</v>
      </c>
      <c r="J7" s="27" t="str">
        <f>B3</f>
        <v>반포 주공1단지(1,2,4주구) 주택 재건축 정비사업</v>
      </c>
      <c r="K7" s="28" t="s">
        <v>42</v>
      </c>
      <c r="L7" s="30">
        <f>L3</f>
        <v>0</v>
      </c>
      <c r="M7" s="26" t="s">
        <v>40</v>
      </c>
      <c r="N7" s="27" t="str">
        <f>B3</f>
        <v>반포 주공1단지(1,2,4주구) 주택 재건축 정비사업</v>
      </c>
      <c r="O7" s="28" t="s">
        <v>42</v>
      </c>
      <c r="P7" s="30">
        <f>L3</f>
        <v>0</v>
      </c>
      <c r="Q7" s="26" t="s">
        <v>40</v>
      </c>
      <c r="R7" s="27" t="str">
        <f>R3</f>
        <v>반포 주공1단지(1,2,4주구) 주택 재건축 정비사업</v>
      </c>
      <c r="S7" s="28" t="s">
        <v>42</v>
      </c>
      <c r="T7" s="29" t="str">
        <f>T3</f>
        <v>2025.10.27</v>
      </c>
      <c r="U7" s="26" t="s">
        <v>40</v>
      </c>
      <c r="V7" s="27" t="str">
        <f>R3</f>
        <v>반포 주공1단지(1,2,4주구) 주택 재건축 정비사업</v>
      </c>
      <c r="W7" s="28" t="s">
        <v>42</v>
      </c>
      <c r="X7" s="29" t="str">
        <f>T3</f>
        <v>2025.10.27</v>
      </c>
      <c r="Y7" s="26" t="s">
        <v>40</v>
      </c>
      <c r="Z7" s="27" t="str">
        <f>R3</f>
        <v>반포 주공1단지(1,2,4주구) 주택 재건축 정비사업</v>
      </c>
      <c r="AA7" s="28" t="s">
        <v>42</v>
      </c>
      <c r="AB7" s="29" t="str">
        <f>AB3</f>
        <v>2025.10.27</v>
      </c>
      <c r="AC7" s="26" t="s">
        <v>40</v>
      </c>
      <c r="AD7" s="27" t="str">
        <f>R3</f>
        <v>반포 주공1단지(1,2,4주구) 주택 재건축 정비사업</v>
      </c>
      <c r="AE7" s="28" t="s">
        <v>42</v>
      </c>
      <c r="AF7" s="29" t="str">
        <f>AB3</f>
        <v>2025.10.27</v>
      </c>
    </row>
    <row r="8" spans="1:32" ht="33" customHeight="1" x14ac:dyDescent="0.4">
      <c r="A8" s="26" t="s">
        <v>43</v>
      </c>
      <c r="B8" s="159">
        <f>B4</f>
        <v>0</v>
      </c>
      <c r="C8" s="160"/>
      <c r="D8" s="161"/>
      <c r="E8" s="26" t="s">
        <v>43</v>
      </c>
      <c r="F8" s="159">
        <f>F4</f>
        <v>0</v>
      </c>
      <c r="G8" s="160"/>
      <c r="H8" s="161"/>
      <c r="I8" s="26" t="s">
        <v>43</v>
      </c>
      <c r="J8" s="159">
        <f>J4</f>
        <v>0</v>
      </c>
      <c r="K8" s="160"/>
      <c r="L8" s="161"/>
      <c r="M8" s="26" t="s">
        <v>43</v>
      </c>
      <c r="N8" s="159">
        <f>J4</f>
        <v>0</v>
      </c>
      <c r="O8" s="160"/>
      <c r="P8" s="161"/>
      <c r="Q8" s="26" t="s">
        <v>43</v>
      </c>
      <c r="R8" s="159" t="str">
        <f>R4</f>
        <v>312동 4F 바닥</v>
      </c>
      <c r="S8" s="160"/>
      <c r="T8" s="161"/>
      <c r="U8" s="26" t="s">
        <v>43</v>
      </c>
      <c r="V8" s="159" t="str">
        <f>V4</f>
        <v>312동 4F 바닥</v>
      </c>
      <c r="W8" s="160"/>
      <c r="X8" s="161"/>
      <c r="Y8" s="26" t="s">
        <v>43</v>
      </c>
      <c r="Z8" s="159" t="str">
        <f>Z4</f>
        <v>312동 4F 바닥</v>
      </c>
      <c r="AA8" s="160"/>
      <c r="AB8" s="161"/>
      <c r="AC8" s="26" t="s">
        <v>43</v>
      </c>
      <c r="AD8" s="159" t="str">
        <f>Z4</f>
        <v>312동 4F 바닥</v>
      </c>
      <c r="AE8" s="160"/>
      <c r="AF8" s="161"/>
    </row>
    <row r="11" spans="1:32" x14ac:dyDescent="0.4">
      <c r="I11" s="25" t="s">
        <v>44</v>
      </c>
      <c r="Y11" s="25" t="s">
        <v>44</v>
      </c>
    </row>
  </sheetData>
  <mergeCells count="48">
    <mergeCell ref="Q1:T1"/>
    <mergeCell ref="U1:X1"/>
    <mergeCell ref="Y1:AB1"/>
    <mergeCell ref="AC1:AF1"/>
    <mergeCell ref="Q2:T2"/>
    <mergeCell ref="U2:X2"/>
    <mergeCell ref="Y2:AB2"/>
    <mergeCell ref="AC2:AF2"/>
    <mergeCell ref="R4:T4"/>
    <mergeCell ref="V4:X4"/>
    <mergeCell ref="Z4:AB4"/>
    <mergeCell ref="AD4:AF4"/>
    <mergeCell ref="Q5:T5"/>
    <mergeCell ref="U5:X5"/>
    <mergeCell ref="Y5:AB5"/>
    <mergeCell ref="AC5:AF5"/>
    <mergeCell ref="Q6:T6"/>
    <mergeCell ref="U6:X6"/>
    <mergeCell ref="Y6:AB6"/>
    <mergeCell ref="AC6:AF6"/>
    <mergeCell ref="R8:T8"/>
    <mergeCell ref="V8:X8"/>
    <mergeCell ref="Z8:AB8"/>
    <mergeCell ref="AD8:AF8"/>
    <mergeCell ref="A1:D1"/>
    <mergeCell ref="E1:H1"/>
    <mergeCell ref="I1:L1"/>
    <mergeCell ref="M1:P1"/>
    <mergeCell ref="A2:D2"/>
    <mergeCell ref="E2:H2"/>
    <mergeCell ref="I2:L2"/>
    <mergeCell ref="M2:P2"/>
    <mergeCell ref="B4:D4"/>
    <mergeCell ref="F4:H4"/>
    <mergeCell ref="J4:L4"/>
    <mergeCell ref="N4:P4"/>
    <mergeCell ref="A5:D5"/>
    <mergeCell ref="E5:H5"/>
    <mergeCell ref="I5:L5"/>
    <mergeCell ref="M5:P5"/>
    <mergeCell ref="A6:D6"/>
    <mergeCell ref="E6:H6"/>
    <mergeCell ref="I6:L6"/>
    <mergeCell ref="M6:P6"/>
    <mergeCell ref="B8:D8"/>
    <mergeCell ref="F8:H8"/>
    <mergeCell ref="J8:L8"/>
    <mergeCell ref="N8:P8"/>
  </mergeCells>
  <phoneticPr fontId="6" type="noConversion"/>
  <pageMargins left="0.9055118110236221" right="0.70866141732283472" top="0.74803149606299213" bottom="0.74803149606299213" header="0.31496062992125984" footer="0.31496062992125984"/>
  <pageSetup paperSize="9" scale="97" fitToWidth="0" orientation="portrait" r:id="rId1"/>
  <colBreaks count="1" manualBreakCount="1">
    <brk id="2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여러_사진_삽입">
                <anchor moveWithCells="1" sizeWithCells="1">
                  <from>
                    <xdr:col>0</xdr:col>
                    <xdr:colOff>0</xdr:colOff>
                    <xdr:row>8</xdr:row>
                    <xdr:rowOff>190500</xdr:rowOff>
                  </from>
                  <to>
                    <xdr:col>1</xdr:col>
                    <xdr:colOff>571500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지정된_셀_사진_삭제">
                <anchor moveWithCells="1" sizeWithCells="1">
                  <from>
                    <xdr:col>1</xdr:col>
                    <xdr:colOff>693420</xdr:colOff>
                    <xdr:row>8</xdr:row>
                    <xdr:rowOff>190500</xdr:rowOff>
                  </from>
                  <to>
                    <xdr:col>1</xdr:col>
                    <xdr:colOff>2065020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공시체 계산기</dc:creator>
  <dcterms:modified xsi:type="dcterms:W3CDTF">2026-09-12T07:19:44Z</dcterms:modified>
  <cp:lastPrinted>2026-08-30T22:51:17Z</cp:lastPrinted>
  <cp:lastModifiedBy>공시체 계산기</cp:lastModifiedBy>
  <dcterms:created xsi:type="dcterms:W3CDTF">2025-06-16T04:52:01Z</dcterms:created>
</cp:coreProperties>
</file>